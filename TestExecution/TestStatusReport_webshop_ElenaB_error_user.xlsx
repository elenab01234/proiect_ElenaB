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4"/>
    <sheet state="visible" name="Results" sheetId="2" r:id="rId5"/>
  </sheets>
  <definedNames/>
  <calcPr/>
  <extLst>
    <ext uri="GoogleSheetsCustomDataVersion2">
      <go:sheetsCustomData xmlns:go="http://customooxmlschemas.google.com/" r:id="rId6" roundtripDataChecksum="xqqc/QA+B8k+XWsf7RDxGboI1SGdCgAETOYS/5AJNmo="/>
    </ext>
  </extLst>
</workbook>
</file>

<file path=xl/sharedStrings.xml><?xml version="1.0" encoding="utf-8"?>
<sst xmlns="http://schemas.openxmlformats.org/spreadsheetml/2006/main" count="239" uniqueCount="162">
  <si>
    <t>Test Suite/Scenario</t>
  </si>
  <si>
    <t xml:space="preserve">TestCaseID - Title 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</si>
  <si>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</si>
  <si>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</si>
  <si>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</si>
  <si>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</si>
  <si>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</si>
  <si>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</si>
  <si>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</si>
  <si>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</si>
  <si>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Proiect WebShop
error_user</t>
  </si>
  <si>
    <t>1 - Login: User valid si parola valida</t>
  </si>
  <si>
    <t>P1</t>
  </si>
  <si>
    <t>1. accesam site (in Chrome)
2. introducem in campul Username date valide
3. introducem in campul Password date valide
4. apasam butonul Login</t>
  </si>
  <si>
    <t>1. error_user
2. secret_sauce</t>
  </si>
  <si>
    <t>Redirectionare catre Home Page</t>
  </si>
  <si>
    <t>Pass</t>
  </si>
  <si>
    <t>2 - Login: User valid si parola invalida</t>
  </si>
  <si>
    <t>1. accesam site (in Chrome)
2. introducem in campul Username date valide
3. introducem in campul Password date invalide
4. apasam butonul Login</t>
  </si>
  <si>
    <t>1. error_user
2. secret_sauces</t>
  </si>
  <si>
    <t>Mesaj eroare: "Epic sadface: Username and password do not match any user in this service"</t>
  </si>
  <si>
    <t>3 - Login: User invalid</t>
  </si>
  <si>
    <t>1. accesam site (in Chrome)
2. introducem in campul Username date invalide
3. introducem in campul Password date 
4. apasam butonul Login</t>
  </si>
  <si>
    <t>1. error_
2. secret_sauce</t>
  </si>
  <si>
    <t>4 - Login: User necompletat</t>
  </si>
  <si>
    <t>1. accesam site (in Chrome)
2. Username date necompletat
3. introducem in campul Password date 
4. apasam butonul Login</t>
  </si>
  <si>
    <t>1. 
2. secret_sauce</t>
  </si>
  <si>
    <t>Mesaj eroare: "Epic sadface: Username is required"</t>
  </si>
  <si>
    <t>5 - Login: Parola necompletata</t>
  </si>
  <si>
    <t>1. accesam site (in Chrome)
2. introducem in campul Username date valid
3. campul Password date necompletat
4. apasam butonul Login</t>
  </si>
  <si>
    <t xml:space="preserve">1. error_user
2. </t>
  </si>
  <si>
    <t>Mesaj eroare: "Epic sadface: Password is required"</t>
  </si>
  <si>
    <t>6 - Home: Filtrare de la A la Z</t>
  </si>
  <si>
    <t>1. autentificare reusita
2. selectam nume ascendent</t>
  </si>
  <si>
    <t xml:space="preserve">Name(A to Z). </t>
  </si>
  <si>
    <t>Afisare produse in ordine alfabetica</t>
  </si>
  <si>
    <t>7 - Home: Filtrare de la Z la A</t>
  </si>
  <si>
    <t>1. autentificare reusita
2. selectam nume descendent</t>
  </si>
  <si>
    <t xml:space="preserve">Name(Z to A). </t>
  </si>
  <si>
    <t xml:space="preserve">Afisare produse in ordine invers alfabetica </t>
  </si>
  <si>
    <r>
      <rPr>
        <rFont val="Arial"/>
        <color theme="1"/>
        <sz val="10.0"/>
      </rPr>
      <t xml:space="preserve">Message: </t>
    </r>
    <r>
      <rPr>
        <rFont val="Arial"/>
        <color rgb="FF1155CC"/>
        <sz val="10.0"/>
        <u/>
      </rPr>
      <t>www.saucedemo.com</t>
    </r>
    <r>
      <rPr>
        <rFont val="Arial"/>
        <color theme="1"/>
        <sz val="10.0"/>
      </rPr>
      <t xml:space="preserve"> says
Sorting is broken! This error has been reported to Backtrace.</t>
    </r>
  </si>
  <si>
    <t>Fail</t>
  </si>
  <si>
    <t>03</t>
  </si>
  <si>
    <t>8 - Home: Filtrare produse pret crescator</t>
  </si>
  <si>
    <t>1. autentificare reusita
2. selectam pret ascendent</t>
  </si>
  <si>
    <t xml:space="preserve">Price(Low to High). </t>
  </si>
  <si>
    <t>Afisare produse in ordinea crescatoare a preturilor</t>
  </si>
  <si>
    <r>
      <rPr>
        <rFont val="Arial"/>
        <color theme="1"/>
        <sz val="10.0"/>
      </rPr>
      <t xml:space="preserve">Message: </t>
    </r>
    <r>
      <rPr>
        <rFont val="Arial"/>
        <color rgb="FF1155CC"/>
        <sz val="10.0"/>
        <u/>
      </rPr>
      <t>www.saucedemo.com</t>
    </r>
    <r>
      <rPr>
        <rFont val="Arial"/>
        <color theme="1"/>
        <sz val="10.0"/>
      </rPr>
      <t xml:space="preserve"> says
Sorting is broken! This error has been reported to Backtrace.</t>
    </r>
  </si>
  <si>
    <t>9 - Home: Filtrare produse pret decrescator</t>
  </si>
  <si>
    <t>1. autentificare reusita
2. selectam pret descendent</t>
  </si>
  <si>
    <t xml:space="preserve">Price(High to Low). </t>
  </si>
  <si>
    <t>Afisare produse in ordinea descrescatoare a preturilor</t>
  </si>
  <si>
    <r>
      <rPr>
        <rFont val="Arial"/>
        <color theme="1"/>
        <sz val="10.0"/>
      </rPr>
      <t xml:space="preserve">Message: </t>
    </r>
    <r>
      <rPr>
        <rFont val="Arial"/>
        <color rgb="FF1155CC"/>
        <sz val="10.0"/>
        <u/>
      </rPr>
      <t>www.saucedemo.com</t>
    </r>
    <r>
      <rPr>
        <rFont val="Arial"/>
        <color theme="1"/>
        <sz val="10.0"/>
      </rPr>
      <t xml:space="preserve"> says
Sorting is broken! This error has been reported to Backtrace.</t>
    </r>
  </si>
  <si>
    <t>10 - Home: Adaugarea unui produs in cos</t>
  </si>
  <si>
    <t>1. cos de cumparaturi gol
2. apasam butonul Add to cart corespunzator tricou negru
3. numărul de articole din coș afișat corect</t>
  </si>
  <si>
    <t>2. click Add to cart (tricou negru)</t>
  </si>
  <si>
    <t>- butonul "Add to cart" se schimba in "Remove".
- numărul de articole din coș afisat este 1</t>
  </si>
  <si>
    <t>- butonul "Add to cart" nu se schimba in "Remove".
- numărul de articole din coș afisat nu se schimba</t>
  </si>
  <si>
    <t>04</t>
  </si>
  <si>
    <t>11 - Home: Eliminarea unui produs din cos cumparaturi</t>
  </si>
  <si>
    <t>1. cos de cumparaturi cu un produs (tricou negru)
2. apasam butonul Remove corespunzator (tricou negru)
3. numărul de articole din coș afișat corect</t>
  </si>
  <si>
    <t>2. click Remove (tricou negru)</t>
  </si>
  <si>
    <t>- butonul "Remove" se schimba in "Add to cart".
- numărul de articole din coș afisat este 0</t>
  </si>
  <si>
    <t>Blocked</t>
  </si>
  <si>
    <t>12 - Home: Adaugarea numarului maxim de produse in cos</t>
  </si>
  <si>
    <t>1. cos de cumparaturi gol
2. apasam butonul Add to cart corespunzator celor 6 produse
3. numărul de articole din coș afișat corect</t>
  </si>
  <si>
    <t>2. click Add to cart (pentru fiecare din cele 6 produse)</t>
  </si>
  <si>
    <t>- butonul "Add to cart" se schimba in "Remove" pentru toate cele 6 produse.
- numărul de articole din coș afisat este 6</t>
  </si>
  <si>
    <t>- butonul "Add to cart" nu se schimba in "Remove" pentru 3 produse (T-shirt, Fleece. T-Shirt(red)).
- numărul de articole din coș afisat este 3</t>
  </si>
  <si>
    <t>05</t>
  </si>
  <si>
    <t>13 - Home: Eliminarea numarului maxim de produse din cos</t>
  </si>
  <si>
    <t>1. cos de cumparaturi cu numar maxim de produse
2. in fereastra Home, apasam butonul Remove corespunzator fiecarui produs</t>
  </si>
  <si>
    <t>2. Home: click Remove (pentru fiecare din cele 6 produse)</t>
  </si>
  <si>
    <t>- butonul "Remove" se schimba in "Add to cart" pentru toate cele 6 produse</t>
  </si>
  <si>
    <t>- butonul "Remove" nu se schimba in "Add to cart" pentru cele 3 produse care au disponibil buton "Remove"</t>
  </si>
  <si>
    <t>06</t>
  </si>
  <si>
    <t>14 - Home: Verificare Logout din Meniu</t>
  </si>
  <si>
    <t>1. apasam butonul Logout din Meniu</t>
  </si>
  <si>
    <t>1. click Logout</t>
  </si>
  <si>
    <t>Redirectionare catre Login Page</t>
  </si>
  <si>
    <t>15 - Home: Numarul de produse este afisat corect si dupa eliminarea unui produs din cosul de cumparaturi</t>
  </si>
  <si>
    <t>1. cos de cumparaturi cu numar maxim de produse
2. apasam butonul Remove corespunzator produsului tricou negru
3. numărul de articole din coș afișat corect</t>
  </si>
  <si>
    <t>Numărul de articole din coș afisat este 6</t>
  </si>
  <si>
    <t>16 - Home: Numarul de produse este afisat corect si dupa eliminarea tuturor produselor din cosul de cumparaturi</t>
  </si>
  <si>
    <t>1. cos de cumparaturi cu numar maxim de produse
2. apasam butonul Remove corespunzator fiecarui produs
3. numărul de articole din coș afișat corect</t>
  </si>
  <si>
    <t>2. click Remove (pentru fiecare produs)</t>
  </si>
  <si>
    <t>Numărul de articole din coș afisat este 0</t>
  </si>
  <si>
    <t>17 - Single product: Continuare cumparaturi</t>
  </si>
  <si>
    <t>1. in Home page, apasam hyperlink produs (tricou negru)
2. in Single product page,apasam hyperlink Back to products</t>
  </si>
  <si>
    <t>2. click Back to products</t>
  </si>
  <si>
    <t>18 - Single product: Un produs se poate adauga in cos din Single product page</t>
  </si>
  <si>
    <t>1. in Home page, apasam hyperlink produs (tricou negru)
2. in Single product page, apasam butonul Add to cart
3. numărul de articole din coș afișat corect</t>
  </si>
  <si>
    <t>2. Single product: click Add to cart</t>
  </si>
  <si>
    <t>- In fereastra Single product page, butonul "Add to cart " se schimba in "Remove"
- Numărul de articole din coș afisat este 1</t>
  </si>
  <si>
    <t>- In fereastra Single product page, butonul "Add to cart " nu se schimba in "Remove"
- Numărul de articole din coș afisat este 0</t>
  </si>
  <si>
    <t>07</t>
  </si>
  <si>
    <t>19 - Single product: Un produs se poate elimina din cos din Single product page</t>
  </si>
  <si>
    <t>1. in Home page, apasam hyperlink produs (tricou negru)
2. in Single product page, apasam butonul Remove
3. numărul de articole din coș afișat corect</t>
  </si>
  <si>
    <t>1. Single product: click Remove</t>
  </si>
  <si>
    <t>- In fereastra Single product page, butonul "Remove " se schimba in "Add to cart"
- Numărul de articole din coș afisat este 0</t>
  </si>
  <si>
    <t>20 - Single product: Verificare All Items din Meniu</t>
  </si>
  <si>
    <t>1. apasam butonul All Items din Meniu</t>
  </si>
  <si>
    <t>1. click All Items</t>
  </si>
  <si>
    <t>21 - Your Cart: Intoarcere la Home page pentru continuarea cumparaturilor</t>
  </si>
  <si>
    <t>1. cos de cumparaturi cu un produs
2. apasam butonul Continue shopping</t>
  </si>
  <si>
    <t>2. click Continue shopping</t>
  </si>
  <si>
    <t>22 - Your Cart: Continuarea catre plasare comenzi</t>
  </si>
  <si>
    <t>1. cos cumparaturi cu produse
2. apasam butonul Checkout</t>
  </si>
  <si>
    <t>2. click Checkout</t>
  </si>
  <si>
    <t>- Redirectionare catre Checkout Your Information Page</t>
  </si>
  <si>
    <t>23 - Checkout Information: Camp gol pentru First Name</t>
  </si>
  <si>
    <t>1. campul First Name gol
2. completam campul Last Name
3. completam campul Zip/Postal code
4. apasam butonul Continue</t>
  </si>
  <si>
    <t>1. 
2. Popescu
3. 111144</t>
  </si>
  <si>
    <t>Mesaj "Error: First Name is required"</t>
  </si>
  <si>
    <t>Camp_LastName_nu_permite_introducere_date</t>
  </si>
  <si>
    <t>08</t>
  </si>
  <si>
    <t>24 - Checkout Information: Camp gol pentru Last Name</t>
  </si>
  <si>
    <t>1. completam campul First Name
2. campul Last Name gol
3. completam campul Zip/Postal code
4. apasam butonul Continue</t>
  </si>
  <si>
    <t>1. Bogdan
2. 
3. 111144</t>
  </si>
  <si>
    <t>Mesaj "Error: Last Name is required"</t>
  </si>
  <si>
    <t>- Redirectionare catre Checkout Overview Page</t>
  </si>
  <si>
    <t>09</t>
  </si>
  <si>
    <t>25 - Checkout Information: Camp gol pentru Zip/Postal code</t>
  </si>
  <si>
    <t>1. completam campul First Name
2. completam campul Last Name
3. campul Zip/Postal code gol
4. apasam butonul Continue</t>
  </si>
  <si>
    <t>1. Bogdan
2. Popescu
3.</t>
  </si>
  <si>
    <t>Mesaj "Error: Postal Code is required"</t>
  </si>
  <si>
    <t>26 - Checkout Information: Toate campurile sunt goale</t>
  </si>
  <si>
    <t>1. campul First Name gol
2. campul Last Name gol
3. campul Zip/Postal code gol
4. apasam butonul Continue</t>
  </si>
  <si>
    <t>1. 
2. 
3.</t>
  </si>
  <si>
    <t>Mesaj “Error: First Name is required"</t>
  </si>
  <si>
    <t>27 - Checkout Information: Continuarea cu date corecte duce la overview cu Informatii corecte</t>
  </si>
  <si>
    <t>1. completam campul First Name
2. completam campul Last Name
3. completam campul Zip/Postal code
4. apasam butonul Continue</t>
  </si>
  <si>
    <t>1. Bogdan
2. Popescu
3. 111144</t>
  </si>
  <si>
    <t>- Redirectionare catre Checkout Overview Page
- Informatiile afisate sunt corecte</t>
  </si>
  <si>
    <t>28 - Checkout Overview: mergem la finalizarea comenzii</t>
  </si>
  <si>
    <t>1. date corecte in Checkout Overview
2. apasam butonul Finish</t>
  </si>
  <si>
    <t>1. click Finish</t>
  </si>
  <si>
    <t>- Mesaj "Thank you for your order!" 
- Redirectionare catre Finish Page</t>
  </si>
  <si>
    <t>Nu functioneaza redirectionare catre Finish Page</t>
  </si>
  <si>
    <t>10</t>
  </si>
  <si>
    <t>29 - Checkout Complete: continuare cumparaturi</t>
  </si>
  <si>
    <t>apasam buton Back Home</t>
  </si>
  <si>
    <t>- click Back Home</t>
  </si>
  <si>
    <t>30 - Checkout Overview: Anulare</t>
  </si>
  <si>
    <t>1. date corecte completate in Checkout Information
2. apasam butonul Cancel</t>
  </si>
  <si>
    <t>2. click Cancel</t>
  </si>
  <si>
    <t>31 - Checkout Information: Anulare</t>
  </si>
  <si>
    <t>1. apasam butonul Cancel</t>
  </si>
  <si>
    <t>1. click Cancel</t>
  </si>
  <si>
    <t>Redirectionare catre Your Cart Page</t>
  </si>
  <si>
    <t>32 - Your Cart: Continuarea catre plasare comenzi cos cumparaturi gol</t>
  </si>
  <si>
    <t>1. cos cumparaturi gol
2. apasam butonul Checkout</t>
  </si>
  <si>
    <t>Checkout indisponibil</t>
  </si>
  <si>
    <t>02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</si>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</sst>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theme="1"/>
      <name val="Verdana"/>
    </font>
    <font>
      <sz val="10.0"/>
      <color theme="1"/>
      <name val="Verdana"/>
    </font>
    <font>
      <sz val="10.0"/>
      <color theme="1"/>
      <name val="Arial"/>
    </font>
    <font>
      <sz val="14.0"/>
      <color theme="1"/>
      <name val="Verdana"/>
    </font>
    <font/>
    <font>
      <u/>
      <sz val="10.0"/>
      <color theme="1"/>
      <name val="Arial"/>
    </font>
    <font>
      <sz val="12.0"/>
      <color theme="1"/>
      <name val="Arial"/>
    </font>
    <font>
      <color rgb="FF000000"/>
      <name val="Arial"/>
    </font>
    <font>
      <sz val="14.0"/>
      <color rgb="FF000000"/>
      <name val="Verdana"/>
    </font>
    <font>
      <color theme="1"/>
      <name val="Arial"/>
    </font>
    <font>
      <color rgb="FF000000"/>
      <name val="Verdana"/>
    </font>
    <font>
      <sz val="14.0"/>
      <color theme="1"/>
      <name val="Arial"/>
    </font>
    <font>
      <b/>
      <sz val="14.0"/>
      <color theme="1"/>
      <name val="Arial"/>
    </font>
    <font>
      <b/>
      <sz val="14.0"/>
      <color rgb="FF1155CC"/>
      <name val="Inconsolata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0" fontId="2" numFmtId="0" xfId="0" applyAlignment="1" applyBorder="1" applyFont="1">
      <alignment horizontal="center" readingOrder="0" shrinkToFit="0" vertical="top" wrapText="1"/>
    </xf>
    <xf borderId="1" fillId="0" fontId="3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wrapText="1"/>
    </xf>
    <xf borderId="1" fillId="0" fontId="3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shrinkToFit="0" wrapText="1"/>
    </xf>
    <xf borderId="4" fillId="0" fontId="5" numFmtId="0" xfId="0" applyBorder="1" applyFont="1"/>
    <xf borderId="1" fillId="0" fontId="3" numFmtId="0" xfId="0" applyAlignment="1" applyBorder="1" applyFont="1">
      <alignment horizontal="left" shrinkToFit="0" wrapText="1"/>
    </xf>
    <xf borderId="1" fillId="3" fontId="2" numFmtId="0" xfId="0" applyAlignment="1" applyBorder="1" applyFill="1" applyFont="1">
      <alignment horizontal="left" shrinkToFit="0" wrapText="1"/>
    </xf>
    <xf borderId="1" fillId="0" fontId="6" numFmtId="0" xfId="0" applyAlignment="1" applyBorder="1" applyFont="1">
      <alignment readingOrder="0"/>
    </xf>
    <xf quotePrefix="1" borderId="1" fillId="0" fontId="7" numFmtId="0" xfId="0" applyAlignment="1" applyBorder="1" applyFont="1">
      <alignment horizontal="center" readingOrder="0"/>
    </xf>
    <xf borderId="1" fillId="0" fontId="3" numFmtId="0" xfId="0" applyAlignment="1" applyBorder="1" applyFont="1">
      <alignment shrinkToFit="0" wrapText="1"/>
    </xf>
    <xf borderId="1" fillId="0" fontId="3" numFmtId="0" xfId="0" applyBorder="1" applyFont="1"/>
    <xf quotePrefix="1" borderId="1" fillId="0" fontId="3" numFmtId="0" xfId="0" applyAlignment="1" applyBorder="1" applyFont="1">
      <alignment shrinkToFit="0" wrapText="1"/>
    </xf>
    <xf quotePrefix="1" borderId="1" fillId="0" fontId="3" numFmtId="0" xfId="0" applyAlignment="1" applyBorder="1" applyFont="1">
      <alignment readingOrder="0"/>
    </xf>
    <xf quotePrefix="1"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center"/>
    </xf>
    <xf borderId="1" fillId="0" fontId="8" numFmtId="0" xfId="0" applyAlignment="1" applyBorder="1" applyFont="1">
      <alignment horizontal="left" shrinkToFit="0" vertical="bottom" wrapText="1"/>
    </xf>
    <xf borderId="1" fillId="0" fontId="9" numFmtId="0" xfId="0" applyAlignment="1" applyBorder="1" applyFont="1">
      <alignment horizontal="center"/>
    </xf>
    <xf borderId="1" fillId="0" fontId="10" numFmtId="0" xfId="0" applyAlignment="1" applyBorder="1" applyFont="1">
      <alignment horizontal="left" vertical="bottom"/>
    </xf>
    <xf borderId="1" fillId="0" fontId="8" numFmtId="0" xfId="0" applyAlignment="1" applyBorder="1" applyFont="1">
      <alignment horizontal="left" vertical="bottom"/>
    </xf>
    <xf borderId="1" fillId="0" fontId="11" numFmtId="0" xfId="0" applyAlignment="1" applyBorder="1" applyFont="1">
      <alignment horizontal="left" shrinkToFit="0" vertical="bottom" wrapText="1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11" numFmtId="0" xfId="0" applyAlignment="1" applyBorder="1" applyFont="1">
      <alignment horizontal="left" readingOrder="0" shrinkToFit="0" vertical="bottom" wrapText="1"/>
    </xf>
    <xf borderId="1" fillId="0" fontId="10" numFmtId="0" xfId="0" applyAlignment="1" applyBorder="1" applyFont="1">
      <alignment horizontal="left" shrinkToFit="0" vertical="bottom" wrapText="1"/>
    </xf>
    <xf borderId="1" fillId="0" fontId="12" numFmtId="0" xfId="0" applyAlignment="1" applyBorder="1" applyFont="1">
      <alignment horizontal="center"/>
    </xf>
    <xf borderId="1" fillId="0" fontId="10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readingOrder="0" vertical="bottom"/>
    </xf>
    <xf borderId="5" fillId="0" fontId="5" numFmtId="0" xfId="0" applyBorder="1" applyFont="1"/>
    <xf borderId="1" fillId="0" fontId="11" numFmtId="0" xfId="0" applyAlignment="1" applyBorder="1" applyFont="1">
      <alignment horizontal="left" vertical="bottom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4" fontId="12" numFmtId="0" xfId="0" applyAlignment="1" applyBorder="1" applyFill="1" applyFont="1">
      <alignment horizontal="center"/>
    </xf>
    <xf borderId="1" fillId="0" fontId="13" numFmtId="0" xfId="0" applyAlignment="1" applyBorder="1" applyFont="1">
      <alignment horizontal="center"/>
    </xf>
    <xf borderId="1" fillId="3" fontId="14" numFmtId="2" xfId="0" applyAlignment="1" applyBorder="1" applyFont="1" applyNumberFormat="1">
      <alignment horizontal="center"/>
    </xf>
    <xf borderId="1" fillId="0" fontId="13" numFmtId="2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saucedemo.com/" TargetMode="External"/><Relationship Id="rId2" Type="http://schemas.openxmlformats.org/officeDocument/2006/relationships/hyperlink" Target="http://www.saucedemo.com/" TargetMode="External"/><Relationship Id="rId3" Type="http://schemas.openxmlformats.org/officeDocument/2006/relationships/hyperlink" Target="http://www.saucedemo.com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31.38"/>
    <col customWidth="1" min="3" max="4" width="11.88"/>
    <col customWidth="1" min="5" max="5" width="47.75"/>
    <col customWidth="1" min="6" max="6" width="20.75"/>
    <col customWidth="1" min="7" max="7" width="21.38"/>
    <col customWidth="1" min="8" max="8" width="19.13"/>
    <col customWidth="1" min="9" max="9" width="27.0"/>
    <col customWidth="1" min="10" max="10" width="21.63"/>
  </cols>
  <sheetData>
    <row r="1" ht="69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75.0" customHeight="1">
      <c r="A2" s="3" t="s">
        <v>10</v>
      </c>
      <c r="B2" s="4" t="s">
        <v>11</v>
      </c>
      <c r="C2" s="5" t="s">
        <v>12</v>
      </c>
      <c r="D2" s="5"/>
      <c r="E2" s="6" t="s">
        <v>13</v>
      </c>
      <c r="F2" s="7" t="s">
        <v>14</v>
      </c>
      <c r="G2" s="6" t="s">
        <v>15</v>
      </c>
      <c r="H2" s="6"/>
      <c r="I2" s="8" t="s">
        <v>16</v>
      </c>
      <c r="J2" s="9"/>
    </row>
    <row r="3" ht="81.0" customHeight="1">
      <c r="A3" s="10"/>
      <c r="B3" s="4" t="s">
        <v>17</v>
      </c>
      <c r="C3" s="5" t="s">
        <v>12</v>
      </c>
      <c r="D3" s="5"/>
      <c r="E3" s="6" t="s">
        <v>18</v>
      </c>
      <c r="F3" s="7" t="s">
        <v>19</v>
      </c>
      <c r="G3" s="6" t="s">
        <v>20</v>
      </c>
      <c r="H3" s="6"/>
      <c r="I3" s="8" t="s">
        <v>16</v>
      </c>
      <c r="J3" s="9"/>
    </row>
    <row r="4" ht="96.75" customHeight="1">
      <c r="A4" s="10"/>
      <c r="B4" s="4" t="s">
        <v>21</v>
      </c>
      <c r="C4" s="5" t="s">
        <v>12</v>
      </c>
      <c r="D4" s="5"/>
      <c r="E4" s="6" t="s">
        <v>22</v>
      </c>
      <c r="F4" s="7" t="s">
        <v>23</v>
      </c>
      <c r="G4" s="6" t="s">
        <v>20</v>
      </c>
      <c r="H4" s="6"/>
      <c r="I4" s="8" t="s">
        <v>16</v>
      </c>
      <c r="J4" s="9"/>
    </row>
    <row r="5" ht="81.0" customHeight="1">
      <c r="A5" s="10"/>
      <c r="B5" s="4" t="s">
        <v>24</v>
      </c>
      <c r="C5" s="5" t="s">
        <v>12</v>
      </c>
      <c r="D5" s="5"/>
      <c r="E5" s="6" t="s">
        <v>25</v>
      </c>
      <c r="F5" s="11" t="s">
        <v>26</v>
      </c>
      <c r="G5" s="6" t="s">
        <v>27</v>
      </c>
      <c r="H5" s="12"/>
      <c r="I5" s="8" t="s">
        <v>16</v>
      </c>
      <c r="J5" s="9"/>
    </row>
    <row r="6" ht="83.25" customHeight="1">
      <c r="A6" s="10"/>
      <c r="B6" s="4" t="s">
        <v>28</v>
      </c>
      <c r="C6" s="5" t="s">
        <v>12</v>
      </c>
      <c r="D6" s="5"/>
      <c r="E6" s="6" t="s">
        <v>29</v>
      </c>
      <c r="F6" s="7" t="s">
        <v>30</v>
      </c>
      <c r="G6" s="6" t="s">
        <v>31</v>
      </c>
      <c r="H6" s="12"/>
      <c r="I6" s="8" t="s">
        <v>16</v>
      </c>
      <c r="J6" s="9"/>
    </row>
    <row r="7" ht="83.25" customHeight="1">
      <c r="A7" s="10"/>
      <c r="B7" s="4" t="s">
        <v>32</v>
      </c>
      <c r="C7" s="5" t="s">
        <v>12</v>
      </c>
      <c r="D7" s="5"/>
      <c r="E7" s="6" t="s">
        <v>33</v>
      </c>
      <c r="F7" s="11" t="s">
        <v>34</v>
      </c>
      <c r="G7" s="6" t="s">
        <v>35</v>
      </c>
      <c r="H7" s="12"/>
      <c r="I7" s="8" t="s">
        <v>16</v>
      </c>
      <c r="J7" s="9"/>
    </row>
    <row r="8" ht="66.75" customHeight="1">
      <c r="A8" s="10"/>
      <c r="B8" s="4" t="s">
        <v>36</v>
      </c>
      <c r="C8" s="5" t="s">
        <v>12</v>
      </c>
      <c r="D8" s="5"/>
      <c r="E8" s="6" t="s">
        <v>37</v>
      </c>
      <c r="F8" s="11" t="s">
        <v>38</v>
      </c>
      <c r="G8" s="6" t="s">
        <v>39</v>
      </c>
      <c r="H8" s="13" t="s">
        <v>40</v>
      </c>
      <c r="I8" s="8" t="s">
        <v>41</v>
      </c>
      <c r="J8" s="14" t="s">
        <v>42</v>
      </c>
    </row>
    <row r="9" ht="74.25" customHeight="1">
      <c r="A9" s="10"/>
      <c r="B9" s="4" t="s">
        <v>43</v>
      </c>
      <c r="C9" s="5" t="s">
        <v>12</v>
      </c>
      <c r="D9" s="5"/>
      <c r="E9" s="6" t="s">
        <v>44</v>
      </c>
      <c r="F9" s="11" t="s">
        <v>45</v>
      </c>
      <c r="G9" s="6" t="s">
        <v>46</v>
      </c>
      <c r="H9" s="13" t="s">
        <v>47</v>
      </c>
      <c r="I9" s="8" t="s">
        <v>41</v>
      </c>
      <c r="J9" s="14" t="s">
        <v>42</v>
      </c>
    </row>
    <row r="10" ht="69.75" customHeight="1">
      <c r="A10" s="10"/>
      <c r="B10" s="4" t="s">
        <v>48</v>
      </c>
      <c r="C10" s="5" t="s">
        <v>12</v>
      </c>
      <c r="D10" s="5"/>
      <c r="E10" s="6" t="s">
        <v>49</v>
      </c>
      <c r="F10" s="11" t="s">
        <v>50</v>
      </c>
      <c r="G10" s="6" t="s">
        <v>51</v>
      </c>
      <c r="H10" s="13" t="s">
        <v>52</v>
      </c>
      <c r="I10" s="8" t="s">
        <v>41</v>
      </c>
      <c r="J10" s="14" t="s">
        <v>42</v>
      </c>
    </row>
    <row r="11" ht="87.75" customHeight="1">
      <c r="A11" s="10"/>
      <c r="B11" s="15" t="s">
        <v>53</v>
      </c>
      <c r="C11" s="5" t="s">
        <v>12</v>
      </c>
      <c r="D11" s="16"/>
      <c r="E11" s="15" t="s">
        <v>54</v>
      </c>
      <c r="F11" s="15" t="s">
        <v>55</v>
      </c>
      <c r="G11" s="17" t="s">
        <v>56</v>
      </c>
      <c r="H11" s="18" t="s">
        <v>57</v>
      </c>
      <c r="I11" s="8" t="s">
        <v>41</v>
      </c>
      <c r="J11" s="14" t="s">
        <v>58</v>
      </c>
    </row>
    <row r="12" ht="69.0" customHeight="1">
      <c r="A12" s="10"/>
      <c r="B12" s="15" t="s">
        <v>59</v>
      </c>
      <c r="C12" s="5" t="s">
        <v>12</v>
      </c>
      <c r="D12" s="16"/>
      <c r="E12" s="15" t="s">
        <v>60</v>
      </c>
      <c r="F12" s="15" t="s">
        <v>61</v>
      </c>
      <c r="G12" s="17" t="s">
        <v>62</v>
      </c>
      <c r="H12" s="16"/>
      <c r="I12" s="8" t="s">
        <v>63</v>
      </c>
      <c r="J12" s="14" t="s">
        <v>58</v>
      </c>
    </row>
    <row r="13" ht="69.0" customHeight="1">
      <c r="A13" s="10"/>
      <c r="B13" s="15" t="s">
        <v>64</v>
      </c>
      <c r="C13" s="5" t="s">
        <v>12</v>
      </c>
      <c r="D13" s="16"/>
      <c r="E13" s="15" t="s">
        <v>65</v>
      </c>
      <c r="F13" s="15" t="s">
        <v>66</v>
      </c>
      <c r="G13" s="17" t="s">
        <v>67</v>
      </c>
      <c r="H13" s="19" t="s">
        <v>68</v>
      </c>
      <c r="I13" s="8" t="s">
        <v>41</v>
      </c>
      <c r="J13" s="14" t="s">
        <v>69</v>
      </c>
    </row>
    <row r="14" ht="69.75" customHeight="1">
      <c r="A14" s="10"/>
      <c r="B14" s="15" t="s">
        <v>70</v>
      </c>
      <c r="C14" s="5" t="s">
        <v>12</v>
      </c>
      <c r="D14" s="16"/>
      <c r="E14" s="15" t="s">
        <v>71</v>
      </c>
      <c r="F14" s="15" t="s">
        <v>72</v>
      </c>
      <c r="G14" s="17" t="s">
        <v>73</v>
      </c>
      <c r="H14" s="19" t="s">
        <v>74</v>
      </c>
      <c r="I14" s="8" t="s">
        <v>41</v>
      </c>
      <c r="J14" s="14" t="s">
        <v>75</v>
      </c>
    </row>
    <row r="15" ht="69.0" customHeight="1">
      <c r="A15" s="10"/>
      <c r="B15" s="15" t="s">
        <v>76</v>
      </c>
      <c r="C15" s="5" t="s">
        <v>12</v>
      </c>
      <c r="D15" s="16"/>
      <c r="E15" s="15" t="s">
        <v>77</v>
      </c>
      <c r="F15" s="16" t="s">
        <v>78</v>
      </c>
      <c r="G15" s="6" t="s">
        <v>79</v>
      </c>
      <c r="H15" s="16"/>
      <c r="I15" s="8" t="s">
        <v>16</v>
      </c>
      <c r="J15" s="20"/>
    </row>
    <row r="16" ht="54.0" customHeight="1">
      <c r="A16" s="10"/>
      <c r="B16" s="15" t="s">
        <v>80</v>
      </c>
      <c r="C16" s="5" t="s">
        <v>12</v>
      </c>
      <c r="D16" s="16"/>
      <c r="E16" s="15" t="s">
        <v>81</v>
      </c>
      <c r="F16" s="15" t="s">
        <v>61</v>
      </c>
      <c r="G16" s="15" t="s">
        <v>82</v>
      </c>
      <c r="H16" s="16"/>
      <c r="I16" s="8" t="s">
        <v>63</v>
      </c>
      <c r="J16" s="14" t="s">
        <v>58</v>
      </c>
    </row>
    <row r="17" ht="58.5" customHeight="1">
      <c r="A17" s="10"/>
      <c r="B17" s="15" t="s">
        <v>83</v>
      </c>
      <c r="C17" s="5" t="s">
        <v>12</v>
      </c>
      <c r="D17" s="16"/>
      <c r="E17" s="15" t="s">
        <v>84</v>
      </c>
      <c r="F17" s="15" t="s">
        <v>85</v>
      </c>
      <c r="G17" s="15" t="s">
        <v>86</v>
      </c>
      <c r="H17" s="16"/>
      <c r="I17" s="8" t="s">
        <v>16</v>
      </c>
      <c r="J17" s="20"/>
    </row>
    <row r="18" ht="60.75" customHeight="1">
      <c r="A18" s="10"/>
      <c r="B18" s="21" t="s">
        <v>87</v>
      </c>
      <c r="C18" s="22" t="s">
        <v>12</v>
      </c>
      <c r="D18" s="23"/>
      <c r="E18" s="24" t="s">
        <v>88</v>
      </c>
      <c r="F18" s="24" t="s">
        <v>89</v>
      </c>
      <c r="G18" s="25" t="s">
        <v>15</v>
      </c>
      <c r="H18" s="23"/>
      <c r="I18" s="8" t="s">
        <v>16</v>
      </c>
      <c r="J18" s="20"/>
    </row>
    <row r="19" ht="60.75" customHeight="1">
      <c r="A19" s="10"/>
      <c r="B19" s="21" t="s">
        <v>90</v>
      </c>
      <c r="C19" s="22" t="s">
        <v>12</v>
      </c>
      <c r="D19" s="23"/>
      <c r="E19" s="24" t="s">
        <v>91</v>
      </c>
      <c r="F19" s="21" t="s">
        <v>92</v>
      </c>
      <c r="G19" s="21" t="s">
        <v>93</v>
      </c>
      <c r="H19" s="26" t="s">
        <v>94</v>
      </c>
      <c r="I19" s="8" t="s">
        <v>41</v>
      </c>
      <c r="J19" s="14" t="s">
        <v>95</v>
      </c>
    </row>
    <row r="20" ht="60.75" customHeight="1">
      <c r="A20" s="10"/>
      <c r="B20" s="21" t="s">
        <v>96</v>
      </c>
      <c r="C20" s="22" t="s">
        <v>12</v>
      </c>
      <c r="D20" s="23"/>
      <c r="E20" s="24" t="s">
        <v>97</v>
      </c>
      <c r="F20" s="21" t="s">
        <v>98</v>
      </c>
      <c r="G20" s="21" t="s">
        <v>99</v>
      </c>
      <c r="H20" s="23"/>
      <c r="I20" s="8" t="s">
        <v>63</v>
      </c>
      <c r="J20" s="14" t="s">
        <v>95</v>
      </c>
    </row>
    <row r="21" ht="60.75" customHeight="1">
      <c r="A21" s="10"/>
      <c r="B21" s="21" t="s">
        <v>100</v>
      </c>
      <c r="C21" s="22" t="s">
        <v>12</v>
      </c>
      <c r="D21" s="23"/>
      <c r="E21" s="24" t="s">
        <v>101</v>
      </c>
      <c r="F21" s="24" t="s">
        <v>102</v>
      </c>
      <c r="G21" s="25" t="s">
        <v>15</v>
      </c>
      <c r="H21" s="23"/>
      <c r="I21" s="8" t="s">
        <v>16</v>
      </c>
      <c r="J21" s="20"/>
    </row>
    <row r="22" ht="60.75" customHeight="1">
      <c r="A22" s="10"/>
      <c r="B22" s="21" t="s">
        <v>103</v>
      </c>
      <c r="C22" s="22" t="s">
        <v>12</v>
      </c>
      <c r="D22" s="23"/>
      <c r="E22" s="24" t="s">
        <v>104</v>
      </c>
      <c r="F22" s="24" t="s">
        <v>105</v>
      </c>
      <c r="G22" s="25" t="s">
        <v>15</v>
      </c>
      <c r="H22" s="23"/>
      <c r="I22" s="8" t="s">
        <v>16</v>
      </c>
      <c r="J22" s="20"/>
    </row>
    <row r="23" ht="60.75" customHeight="1">
      <c r="A23" s="10"/>
      <c r="B23" s="21" t="s">
        <v>106</v>
      </c>
      <c r="C23" s="22" t="s">
        <v>12</v>
      </c>
      <c r="D23" s="23"/>
      <c r="E23" s="24" t="s">
        <v>107</v>
      </c>
      <c r="F23" s="24" t="s">
        <v>108</v>
      </c>
      <c r="G23" s="27" t="s">
        <v>109</v>
      </c>
      <c r="H23" s="28"/>
      <c r="I23" s="8" t="s">
        <v>16</v>
      </c>
      <c r="J23" s="29"/>
    </row>
    <row r="24" ht="65.25" customHeight="1">
      <c r="A24" s="10"/>
      <c r="B24" s="21" t="s">
        <v>110</v>
      </c>
      <c r="C24" s="22" t="s">
        <v>12</v>
      </c>
      <c r="D24" s="23"/>
      <c r="E24" s="24" t="s">
        <v>111</v>
      </c>
      <c r="F24" s="24" t="s">
        <v>112</v>
      </c>
      <c r="G24" s="25" t="s">
        <v>113</v>
      </c>
      <c r="H24" s="30" t="s">
        <v>114</v>
      </c>
      <c r="I24" s="8" t="s">
        <v>63</v>
      </c>
      <c r="J24" s="14" t="s">
        <v>115</v>
      </c>
    </row>
    <row r="25" ht="65.25" customHeight="1">
      <c r="A25" s="10"/>
      <c r="B25" s="21" t="s">
        <v>116</v>
      </c>
      <c r="C25" s="22" t="s">
        <v>12</v>
      </c>
      <c r="D25" s="23"/>
      <c r="E25" s="24" t="s">
        <v>117</v>
      </c>
      <c r="F25" s="24" t="s">
        <v>118</v>
      </c>
      <c r="G25" s="25" t="s">
        <v>119</v>
      </c>
      <c r="H25" s="30" t="s">
        <v>120</v>
      </c>
      <c r="I25" s="8" t="s">
        <v>41</v>
      </c>
      <c r="J25" s="14" t="s">
        <v>121</v>
      </c>
    </row>
    <row r="26" ht="65.25" customHeight="1">
      <c r="A26" s="10"/>
      <c r="B26" s="21" t="s">
        <v>122</v>
      </c>
      <c r="C26" s="22" t="s">
        <v>12</v>
      </c>
      <c r="D26" s="23"/>
      <c r="E26" s="24" t="s">
        <v>123</v>
      </c>
      <c r="F26" s="24" t="s">
        <v>124</v>
      </c>
      <c r="G26" s="25" t="s">
        <v>125</v>
      </c>
      <c r="H26" s="23"/>
      <c r="I26" s="8" t="s">
        <v>16</v>
      </c>
      <c r="J26" s="20"/>
    </row>
    <row r="27" ht="65.25" customHeight="1">
      <c r="A27" s="10"/>
      <c r="B27" s="21" t="s">
        <v>126</v>
      </c>
      <c r="C27" s="22" t="s">
        <v>12</v>
      </c>
      <c r="D27" s="23"/>
      <c r="E27" s="24" t="s">
        <v>127</v>
      </c>
      <c r="F27" s="24" t="s">
        <v>128</v>
      </c>
      <c r="G27" s="25" t="s">
        <v>129</v>
      </c>
      <c r="H27" s="23"/>
      <c r="I27" s="8" t="s">
        <v>16</v>
      </c>
      <c r="J27" s="20"/>
    </row>
    <row r="28" ht="73.5" customHeight="1">
      <c r="A28" s="10"/>
      <c r="B28" s="21" t="s">
        <v>130</v>
      </c>
      <c r="C28" s="22" t="s">
        <v>12</v>
      </c>
      <c r="D28" s="23"/>
      <c r="E28" s="24" t="s">
        <v>131</v>
      </c>
      <c r="F28" s="24" t="s">
        <v>132</v>
      </c>
      <c r="G28" s="25" t="s">
        <v>133</v>
      </c>
      <c r="H28" s="30" t="s">
        <v>114</v>
      </c>
      <c r="I28" s="8" t="s">
        <v>63</v>
      </c>
      <c r="J28" s="14" t="s">
        <v>115</v>
      </c>
    </row>
    <row r="29" ht="65.25" customHeight="1">
      <c r="A29" s="10"/>
      <c r="B29" s="21" t="s">
        <v>134</v>
      </c>
      <c r="C29" s="22" t="s">
        <v>12</v>
      </c>
      <c r="D29" s="23"/>
      <c r="E29" s="31" t="s">
        <v>135</v>
      </c>
      <c r="F29" s="24" t="s">
        <v>136</v>
      </c>
      <c r="G29" s="25" t="s">
        <v>137</v>
      </c>
      <c r="H29" s="30" t="s">
        <v>138</v>
      </c>
      <c r="I29" s="8" t="s">
        <v>41</v>
      </c>
      <c r="J29" s="14" t="s">
        <v>139</v>
      </c>
    </row>
    <row r="30" ht="65.25" customHeight="1">
      <c r="A30" s="10"/>
      <c r="B30" s="21" t="s">
        <v>140</v>
      </c>
      <c r="C30" s="22" t="s">
        <v>12</v>
      </c>
      <c r="D30" s="23"/>
      <c r="E30" s="24" t="s">
        <v>141</v>
      </c>
      <c r="F30" s="24" t="s">
        <v>142</v>
      </c>
      <c r="G30" s="25" t="s">
        <v>15</v>
      </c>
      <c r="H30" s="23"/>
      <c r="I30" s="8" t="s">
        <v>63</v>
      </c>
      <c r="J30" s="14" t="s">
        <v>139</v>
      </c>
    </row>
    <row r="31" ht="65.25" customHeight="1">
      <c r="A31" s="10"/>
      <c r="B31" s="24" t="s">
        <v>143</v>
      </c>
      <c r="C31" s="22" t="s">
        <v>12</v>
      </c>
      <c r="D31" s="23"/>
      <c r="E31" s="24" t="s">
        <v>144</v>
      </c>
      <c r="F31" s="24" t="s">
        <v>145</v>
      </c>
      <c r="G31" s="25" t="s">
        <v>15</v>
      </c>
      <c r="H31" s="23"/>
      <c r="I31" s="8" t="s">
        <v>16</v>
      </c>
      <c r="J31" s="20"/>
    </row>
    <row r="32" ht="66.75" customHeight="1">
      <c r="A32" s="10"/>
      <c r="B32" s="24" t="s">
        <v>146</v>
      </c>
      <c r="C32" s="22" t="s">
        <v>12</v>
      </c>
      <c r="D32" s="23"/>
      <c r="E32" s="24" t="s">
        <v>147</v>
      </c>
      <c r="F32" s="24" t="s">
        <v>148</v>
      </c>
      <c r="G32" s="25" t="s">
        <v>149</v>
      </c>
      <c r="H32" s="23"/>
      <c r="I32" s="8" t="s">
        <v>16</v>
      </c>
      <c r="J32" s="20"/>
    </row>
    <row r="33" ht="56.25" customHeight="1">
      <c r="A33" s="32"/>
      <c r="B33" s="21" t="s">
        <v>150</v>
      </c>
      <c r="C33" s="22" t="s">
        <v>12</v>
      </c>
      <c r="D33" s="23"/>
      <c r="E33" s="24" t="s">
        <v>151</v>
      </c>
      <c r="F33" s="24" t="s">
        <v>108</v>
      </c>
      <c r="G33" s="33" t="s">
        <v>152</v>
      </c>
      <c r="H33" s="25"/>
      <c r="I33" s="8" t="s">
        <v>41</v>
      </c>
      <c r="J33" s="14" t="s">
        <v>153</v>
      </c>
    </row>
    <row r="34" ht="61.5" customHeight="1">
      <c r="A34" s="16"/>
      <c r="B34" s="15"/>
      <c r="C34" s="16"/>
      <c r="D34" s="16"/>
      <c r="E34" s="15"/>
      <c r="F34" s="16"/>
      <c r="G34" s="16"/>
      <c r="H34" s="16"/>
      <c r="I34" s="16"/>
      <c r="J34" s="20"/>
    </row>
    <row r="35" ht="63.0" customHeight="1">
      <c r="A35" s="16"/>
      <c r="B35" s="15"/>
      <c r="C35" s="16"/>
      <c r="D35" s="16"/>
      <c r="E35" s="15"/>
      <c r="F35" s="16"/>
      <c r="G35" s="16"/>
      <c r="H35" s="16"/>
      <c r="I35" s="16"/>
      <c r="J35" s="20"/>
    </row>
    <row r="36" ht="72.0" customHeight="1">
      <c r="A36" s="16"/>
      <c r="B36" s="15"/>
      <c r="C36" s="16"/>
      <c r="D36" s="16"/>
      <c r="E36" s="15"/>
      <c r="F36" s="16"/>
      <c r="G36" s="16"/>
      <c r="H36" s="16"/>
      <c r="I36" s="16"/>
      <c r="J36" s="20"/>
    </row>
    <row r="37" ht="61.5" customHeight="1">
      <c r="A37" s="16"/>
      <c r="B37" s="15"/>
      <c r="C37" s="16"/>
      <c r="D37" s="16"/>
      <c r="E37" s="15"/>
      <c r="F37" s="16"/>
      <c r="G37" s="16"/>
      <c r="H37" s="16"/>
      <c r="I37" s="16"/>
      <c r="J37" s="20"/>
    </row>
    <row r="38" ht="65.25" customHeight="1">
      <c r="A38" s="16"/>
      <c r="B38" s="15"/>
      <c r="C38" s="16"/>
      <c r="D38" s="16"/>
      <c r="E38" s="15"/>
      <c r="F38" s="16"/>
      <c r="G38" s="16"/>
      <c r="H38" s="16"/>
      <c r="I38" s="16"/>
      <c r="J38" s="20"/>
    </row>
    <row r="39" ht="57.75" customHeight="1">
      <c r="A39" s="16"/>
      <c r="B39" s="15"/>
      <c r="C39" s="16"/>
      <c r="D39" s="16"/>
      <c r="E39" s="15"/>
      <c r="F39" s="16"/>
      <c r="G39" s="16"/>
      <c r="H39" s="16"/>
      <c r="I39" s="16"/>
      <c r="J39" s="20"/>
    </row>
    <row r="40" ht="73.5" customHeight="1">
      <c r="A40" s="16"/>
      <c r="B40" s="15"/>
      <c r="C40" s="16"/>
      <c r="D40" s="16"/>
      <c r="E40" s="15"/>
      <c r="F40" s="16"/>
      <c r="G40" s="16"/>
      <c r="H40" s="16"/>
      <c r="I40" s="16"/>
      <c r="J40" s="20"/>
    </row>
    <row r="41" ht="15.75" customHeight="1">
      <c r="B41" s="34"/>
      <c r="E41" s="34"/>
      <c r="J41" s="35"/>
    </row>
    <row r="42" ht="15.75" customHeight="1">
      <c r="B42" s="34"/>
      <c r="E42" s="34"/>
      <c r="J42" s="35"/>
    </row>
    <row r="43" ht="15.75" customHeight="1">
      <c r="B43" s="34"/>
      <c r="E43" s="34"/>
      <c r="J43" s="35"/>
    </row>
    <row r="44" ht="15.75" customHeight="1">
      <c r="B44" s="34"/>
      <c r="E44" s="34"/>
      <c r="J44" s="35"/>
    </row>
    <row r="45" ht="15.75" customHeight="1">
      <c r="B45" s="34"/>
      <c r="E45" s="34"/>
      <c r="J45" s="35"/>
    </row>
    <row r="46" ht="15.75" customHeight="1">
      <c r="B46" s="34"/>
      <c r="E46" s="34"/>
      <c r="J46" s="35"/>
    </row>
    <row r="47" ht="15.75" customHeight="1">
      <c r="B47" s="34"/>
      <c r="E47" s="34"/>
      <c r="J47" s="35"/>
    </row>
    <row r="48" ht="15.75" customHeight="1">
      <c r="B48" s="34"/>
      <c r="E48" s="34"/>
      <c r="J48" s="35"/>
    </row>
    <row r="49" ht="15.75" customHeight="1">
      <c r="B49" s="34"/>
      <c r="E49" s="34"/>
      <c r="J49" s="35"/>
    </row>
    <row r="50" ht="15.75" customHeight="1">
      <c r="B50" s="34"/>
      <c r="E50" s="34"/>
      <c r="J50" s="35"/>
    </row>
    <row r="51" ht="15.75" customHeight="1">
      <c r="B51" s="34"/>
      <c r="E51" s="34"/>
      <c r="J51" s="35"/>
    </row>
    <row r="52" ht="15.75" customHeight="1">
      <c r="B52" s="34"/>
      <c r="E52" s="34"/>
      <c r="J52" s="35"/>
    </row>
    <row r="53" ht="15.75" customHeight="1">
      <c r="B53" s="34"/>
      <c r="E53" s="34"/>
      <c r="J53" s="35"/>
    </row>
    <row r="54" ht="15.75" customHeight="1">
      <c r="B54" s="34"/>
      <c r="E54" s="34"/>
      <c r="J54" s="35"/>
    </row>
    <row r="55" ht="15.75" customHeight="1">
      <c r="B55" s="34"/>
      <c r="E55" s="34"/>
      <c r="J55" s="35"/>
    </row>
    <row r="56" ht="15.75" customHeight="1">
      <c r="B56" s="34"/>
      <c r="E56" s="34"/>
      <c r="J56" s="35"/>
    </row>
    <row r="57" ht="15.75" customHeight="1">
      <c r="B57" s="34"/>
      <c r="E57" s="34"/>
      <c r="J57" s="35"/>
    </row>
    <row r="58" ht="15.75" customHeight="1">
      <c r="B58" s="34"/>
      <c r="E58" s="34"/>
      <c r="J58" s="35"/>
    </row>
    <row r="59" ht="15.75" customHeight="1">
      <c r="B59" s="34"/>
      <c r="E59" s="34"/>
      <c r="J59" s="35"/>
    </row>
    <row r="60" ht="15.75" customHeight="1">
      <c r="B60" s="34"/>
      <c r="E60" s="34"/>
      <c r="J60" s="35"/>
    </row>
    <row r="61" ht="15.75" customHeight="1">
      <c r="B61" s="34"/>
      <c r="E61" s="34"/>
      <c r="J61" s="35"/>
    </row>
    <row r="62" ht="15.75" customHeight="1">
      <c r="B62" s="34"/>
      <c r="E62" s="34"/>
      <c r="J62" s="35"/>
    </row>
    <row r="63" ht="15.75" customHeight="1">
      <c r="B63" s="34"/>
      <c r="E63" s="34"/>
      <c r="J63" s="35"/>
    </row>
    <row r="64" ht="15.75" customHeight="1">
      <c r="B64" s="34"/>
      <c r="E64" s="34"/>
      <c r="J64" s="35"/>
    </row>
    <row r="65" ht="15.75" customHeight="1">
      <c r="B65" s="34"/>
      <c r="E65" s="34"/>
      <c r="J65" s="35"/>
    </row>
    <row r="66" ht="15.75" customHeight="1">
      <c r="B66" s="34"/>
      <c r="E66" s="34"/>
      <c r="J66" s="35"/>
    </row>
    <row r="67" ht="15.75" customHeight="1">
      <c r="B67" s="34"/>
      <c r="E67" s="34"/>
      <c r="J67" s="35"/>
    </row>
    <row r="68" ht="15.75" customHeight="1">
      <c r="B68" s="34"/>
      <c r="E68" s="34"/>
      <c r="J68" s="35"/>
    </row>
    <row r="69" ht="15.75" customHeight="1">
      <c r="B69" s="34"/>
      <c r="E69" s="34"/>
      <c r="J69" s="35"/>
    </row>
    <row r="70" ht="15.75" customHeight="1">
      <c r="B70" s="34"/>
      <c r="E70" s="34"/>
      <c r="J70" s="35"/>
    </row>
    <row r="71" ht="15.75" customHeight="1">
      <c r="B71" s="34"/>
      <c r="E71" s="34"/>
      <c r="J71" s="35"/>
    </row>
    <row r="72" ht="15.75" customHeight="1">
      <c r="B72" s="34"/>
      <c r="E72" s="34"/>
      <c r="J72" s="35"/>
    </row>
    <row r="73" ht="15.75" customHeight="1">
      <c r="B73" s="34"/>
      <c r="E73" s="34"/>
      <c r="J73" s="35"/>
    </row>
    <row r="74" ht="15.75" customHeight="1">
      <c r="B74" s="34"/>
      <c r="E74" s="34"/>
      <c r="J74" s="35"/>
    </row>
    <row r="75" ht="15.75" customHeight="1">
      <c r="B75" s="34"/>
      <c r="E75" s="34"/>
      <c r="J75" s="35"/>
    </row>
    <row r="76" ht="15.75" customHeight="1">
      <c r="B76" s="34"/>
      <c r="E76" s="34"/>
      <c r="J76" s="35"/>
    </row>
    <row r="77" ht="15.75" customHeight="1">
      <c r="B77" s="34"/>
      <c r="E77" s="34"/>
      <c r="J77" s="35"/>
    </row>
    <row r="78" ht="15.75" customHeight="1">
      <c r="B78" s="34"/>
      <c r="E78" s="34"/>
      <c r="J78" s="35"/>
    </row>
    <row r="79" ht="15.75" customHeight="1">
      <c r="B79" s="34"/>
      <c r="E79" s="34"/>
      <c r="J79" s="35"/>
    </row>
    <row r="80" ht="15.75" customHeight="1">
      <c r="B80" s="34"/>
      <c r="E80" s="34"/>
      <c r="J80" s="35"/>
    </row>
    <row r="81" ht="15.75" customHeight="1">
      <c r="B81" s="34"/>
      <c r="E81" s="34"/>
      <c r="J81" s="35"/>
    </row>
    <row r="82" ht="15.75" customHeight="1">
      <c r="B82" s="34"/>
      <c r="E82" s="34"/>
      <c r="J82" s="35"/>
    </row>
    <row r="83" ht="15.75" customHeight="1">
      <c r="B83" s="34"/>
      <c r="E83" s="34"/>
      <c r="J83" s="35"/>
    </row>
    <row r="84" ht="15.75" customHeight="1">
      <c r="B84" s="34"/>
      <c r="E84" s="34"/>
      <c r="J84" s="35"/>
    </row>
    <row r="85" ht="15.75" customHeight="1">
      <c r="B85" s="34"/>
      <c r="E85" s="34"/>
      <c r="J85" s="35"/>
    </row>
    <row r="86" ht="15.75" customHeight="1">
      <c r="B86" s="34"/>
      <c r="E86" s="34"/>
      <c r="J86" s="35"/>
    </row>
    <row r="87" ht="15.75" customHeight="1">
      <c r="B87" s="34"/>
      <c r="E87" s="34"/>
      <c r="J87" s="35"/>
    </row>
    <row r="88" ht="15.75" customHeight="1">
      <c r="B88" s="34"/>
      <c r="E88" s="34"/>
      <c r="J88" s="35"/>
    </row>
    <row r="89" ht="15.75" customHeight="1">
      <c r="B89" s="34"/>
      <c r="E89" s="34"/>
      <c r="J89" s="35"/>
    </row>
    <row r="90" ht="15.75" customHeight="1">
      <c r="B90" s="34"/>
      <c r="E90" s="34"/>
      <c r="J90" s="35"/>
    </row>
    <row r="91" ht="15.75" customHeight="1">
      <c r="B91" s="34"/>
      <c r="E91" s="34"/>
      <c r="J91" s="35"/>
    </row>
    <row r="92" ht="15.75" customHeight="1">
      <c r="B92" s="34"/>
      <c r="E92" s="34"/>
      <c r="J92" s="35"/>
    </row>
    <row r="93" ht="15.75" customHeight="1">
      <c r="B93" s="34"/>
      <c r="E93" s="34"/>
      <c r="J93" s="35"/>
    </row>
    <row r="94" ht="15.75" customHeight="1">
      <c r="B94" s="34"/>
      <c r="E94" s="34"/>
      <c r="J94" s="35"/>
    </row>
    <row r="95" ht="15.75" customHeight="1">
      <c r="B95" s="34"/>
      <c r="E95" s="34"/>
      <c r="J95" s="35"/>
    </row>
    <row r="96" ht="15.75" customHeight="1">
      <c r="B96" s="34"/>
      <c r="E96" s="34"/>
      <c r="J96" s="35"/>
    </row>
    <row r="97" ht="15.75" customHeight="1">
      <c r="B97" s="34"/>
      <c r="E97" s="34"/>
      <c r="J97" s="35"/>
    </row>
    <row r="98" ht="15.75" customHeight="1">
      <c r="B98" s="34"/>
      <c r="E98" s="34"/>
      <c r="J98" s="35"/>
    </row>
    <row r="99" ht="15.75" customHeight="1">
      <c r="B99" s="34"/>
      <c r="E99" s="34"/>
      <c r="J99" s="35"/>
    </row>
    <row r="100" ht="15.75" customHeight="1">
      <c r="B100" s="34"/>
      <c r="E100" s="34"/>
      <c r="J100" s="35"/>
    </row>
    <row r="101" ht="15.75" customHeight="1">
      <c r="B101" s="34"/>
      <c r="E101" s="34"/>
      <c r="J101" s="35"/>
    </row>
    <row r="102" ht="15.75" customHeight="1">
      <c r="B102" s="34"/>
      <c r="E102" s="34"/>
      <c r="J102" s="35"/>
    </row>
    <row r="103" ht="15.75" customHeight="1">
      <c r="B103" s="34"/>
      <c r="E103" s="34"/>
      <c r="J103" s="35"/>
    </row>
    <row r="104" ht="15.75" customHeight="1">
      <c r="B104" s="34"/>
      <c r="E104" s="34"/>
      <c r="J104" s="35"/>
    </row>
    <row r="105" ht="15.75" customHeight="1">
      <c r="B105" s="34"/>
      <c r="E105" s="34"/>
      <c r="J105" s="35"/>
    </row>
    <row r="106" ht="15.75" customHeight="1">
      <c r="B106" s="34"/>
      <c r="E106" s="34"/>
      <c r="J106" s="35"/>
    </row>
    <row r="107" ht="15.75" customHeight="1">
      <c r="B107" s="34"/>
      <c r="E107" s="34"/>
      <c r="J107" s="35"/>
    </row>
    <row r="108" ht="15.75" customHeight="1">
      <c r="B108" s="34"/>
      <c r="E108" s="34"/>
      <c r="J108" s="35"/>
    </row>
    <row r="109" ht="15.75" customHeight="1">
      <c r="B109" s="34"/>
      <c r="E109" s="34"/>
      <c r="J109" s="35"/>
    </row>
    <row r="110" ht="15.75" customHeight="1">
      <c r="B110" s="34"/>
      <c r="E110" s="34"/>
      <c r="J110" s="35"/>
    </row>
    <row r="111" ht="15.75" customHeight="1">
      <c r="B111" s="34"/>
      <c r="E111" s="34"/>
      <c r="J111" s="35"/>
    </row>
    <row r="112" ht="15.75" customHeight="1">
      <c r="B112" s="34"/>
      <c r="E112" s="34"/>
      <c r="J112" s="35"/>
    </row>
    <row r="113" ht="15.75" customHeight="1">
      <c r="B113" s="34"/>
      <c r="E113" s="34"/>
      <c r="J113" s="35"/>
    </row>
    <row r="114" ht="15.75" customHeight="1">
      <c r="B114" s="34"/>
      <c r="E114" s="34"/>
      <c r="J114" s="35"/>
    </row>
    <row r="115" ht="15.75" customHeight="1">
      <c r="B115" s="34"/>
      <c r="E115" s="34"/>
      <c r="J115" s="35"/>
    </row>
    <row r="116" ht="15.75" customHeight="1">
      <c r="B116" s="34"/>
      <c r="E116" s="34"/>
      <c r="J116" s="35"/>
    </row>
    <row r="117" ht="15.75" customHeight="1">
      <c r="B117" s="34"/>
      <c r="E117" s="34"/>
      <c r="J117" s="35"/>
    </row>
    <row r="118" ht="15.75" customHeight="1">
      <c r="B118" s="34"/>
      <c r="E118" s="34"/>
      <c r="J118" s="35"/>
    </row>
    <row r="119" ht="15.75" customHeight="1">
      <c r="B119" s="34"/>
      <c r="E119" s="34"/>
      <c r="J119" s="35"/>
    </row>
    <row r="120" ht="15.75" customHeight="1">
      <c r="B120" s="34"/>
      <c r="E120" s="34"/>
      <c r="J120" s="35"/>
    </row>
    <row r="121" ht="15.75" customHeight="1">
      <c r="B121" s="34"/>
      <c r="E121" s="34"/>
      <c r="J121" s="35"/>
    </row>
    <row r="122" ht="15.75" customHeight="1">
      <c r="B122" s="34"/>
      <c r="E122" s="34"/>
      <c r="J122" s="35"/>
    </row>
    <row r="123" ht="15.75" customHeight="1">
      <c r="B123" s="34"/>
      <c r="E123" s="34"/>
      <c r="J123" s="35"/>
    </row>
    <row r="124" ht="15.75" customHeight="1">
      <c r="B124" s="34"/>
      <c r="E124" s="34"/>
      <c r="J124" s="35"/>
    </row>
    <row r="125" ht="15.75" customHeight="1">
      <c r="B125" s="34"/>
      <c r="E125" s="34"/>
      <c r="J125" s="35"/>
    </row>
    <row r="126" ht="15.75" customHeight="1">
      <c r="B126" s="34"/>
      <c r="E126" s="34"/>
      <c r="J126" s="35"/>
    </row>
    <row r="127" ht="15.75" customHeight="1">
      <c r="B127" s="34"/>
      <c r="E127" s="34"/>
      <c r="J127" s="35"/>
    </row>
    <row r="128" ht="15.75" customHeight="1">
      <c r="B128" s="34"/>
      <c r="E128" s="34"/>
      <c r="J128" s="35"/>
    </row>
    <row r="129" ht="15.75" customHeight="1">
      <c r="B129" s="34"/>
      <c r="E129" s="34"/>
      <c r="J129" s="35"/>
    </row>
    <row r="130" ht="15.75" customHeight="1">
      <c r="B130" s="34"/>
      <c r="E130" s="34"/>
      <c r="J130" s="35"/>
    </row>
    <row r="131" ht="15.75" customHeight="1">
      <c r="B131" s="34"/>
      <c r="E131" s="34"/>
      <c r="J131" s="35"/>
    </row>
    <row r="132" ht="15.75" customHeight="1">
      <c r="B132" s="34"/>
      <c r="E132" s="34"/>
      <c r="J132" s="35"/>
    </row>
    <row r="133" ht="15.75" customHeight="1">
      <c r="B133" s="34"/>
      <c r="E133" s="34"/>
      <c r="J133" s="35"/>
    </row>
    <row r="134" ht="15.75" customHeight="1">
      <c r="B134" s="34"/>
      <c r="E134" s="34"/>
      <c r="J134" s="35"/>
    </row>
    <row r="135" ht="15.75" customHeight="1">
      <c r="B135" s="34"/>
      <c r="E135" s="34"/>
      <c r="J135" s="35"/>
    </row>
    <row r="136" ht="15.75" customHeight="1">
      <c r="B136" s="34"/>
      <c r="E136" s="34"/>
      <c r="J136" s="35"/>
    </row>
    <row r="137" ht="15.75" customHeight="1">
      <c r="B137" s="34"/>
      <c r="E137" s="34"/>
      <c r="J137" s="35"/>
    </row>
    <row r="138" ht="15.75" customHeight="1">
      <c r="B138" s="34"/>
      <c r="E138" s="34"/>
      <c r="J138" s="35"/>
    </row>
    <row r="139" ht="15.75" customHeight="1">
      <c r="B139" s="34"/>
      <c r="E139" s="34"/>
      <c r="J139" s="35"/>
    </row>
    <row r="140" ht="15.75" customHeight="1">
      <c r="B140" s="34"/>
      <c r="E140" s="34"/>
      <c r="J140" s="35"/>
    </row>
    <row r="141" ht="15.75" customHeight="1">
      <c r="B141" s="34"/>
      <c r="E141" s="34"/>
      <c r="J141" s="35"/>
    </row>
    <row r="142" ht="15.75" customHeight="1">
      <c r="B142" s="34"/>
      <c r="E142" s="34"/>
      <c r="J142" s="35"/>
    </row>
    <row r="143" ht="15.75" customHeight="1">
      <c r="B143" s="34"/>
      <c r="E143" s="34"/>
      <c r="J143" s="35"/>
    </row>
    <row r="144" ht="15.75" customHeight="1">
      <c r="B144" s="34"/>
      <c r="E144" s="34"/>
      <c r="J144" s="35"/>
    </row>
    <row r="145" ht="15.75" customHeight="1">
      <c r="B145" s="34"/>
      <c r="E145" s="34"/>
      <c r="J145" s="35"/>
    </row>
    <row r="146" ht="15.75" customHeight="1">
      <c r="B146" s="34"/>
      <c r="E146" s="34"/>
      <c r="J146" s="35"/>
    </row>
    <row r="147" ht="15.75" customHeight="1">
      <c r="B147" s="34"/>
      <c r="E147" s="34"/>
      <c r="J147" s="35"/>
    </row>
    <row r="148" ht="15.75" customHeight="1">
      <c r="B148" s="34"/>
      <c r="E148" s="34"/>
      <c r="J148" s="35"/>
    </row>
    <row r="149" ht="15.75" customHeight="1">
      <c r="B149" s="34"/>
      <c r="E149" s="34"/>
      <c r="J149" s="35"/>
    </row>
    <row r="150" ht="15.75" customHeight="1">
      <c r="B150" s="34"/>
      <c r="E150" s="34"/>
      <c r="J150" s="35"/>
    </row>
    <row r="151" ht="15.75" customHeight="1">
      <c r="B151" s="34"/>
      <c r="E151" s="34"/>
      <c r="J151" s="35"/>
    </row>
    <row r="152" ht="15.75" customHeight="1">
      <c r="B152" s="34"/>
      <c r="E152" s="34"/>
      <c r="J152" s="35"/>
    </row>
    <row r="153" ht="15.75" customHeight="1">
      <c r="B153" s="34"/>
      <c r="E153" s="34"/>
      <c r="J153" s="35"/>
    </row>
    <row r="154" ht="15.75" customHeight="1">
      <c r="B154" s="34"/>
      <c r="E154" s="34"/>
      <c r="J154" s="35"/>
    </row>
    <row r="155" ht="15.75" customHeight="1">
      <c r="B155" s="34"/>
      <c r="E155" s="34"/>
      <c r="J155" s="35"/>
    </row>
    <row r="156" ht="15.75" customHeight="1">
      <c r="B156" s="34"/>
      <c r="E156" s="34"/>
      <c r="J156" s="35"/>
    </row>
    <row r="157" ht="15.75" customHeight="1">
      <c r="B157" s="34"/>
      <c r="E157" s="34"/>
      <c r="J157" s="35"/>
    </row>
    <row r="158" ht="15.75" customHeight="1">
      <c r="B158" s="34"/>
      <c r="E158" s="34"/>
      <c r="J158" s="35"/>
    </row>
    <row r="159" ht="15.75" customHeight="1">
      <c r="B159" s="34"/>
      <c r="E159" s="34"/>
      <c r="J159" s="35"/>
    </row>
    <row r="160" ht="15.75" customHeight="1">
      <c r="B160" s="34"/>
      <c r="E160" s="34"/>
      <c r="J160" s="35"/>
    </row>
    <row r="161" ht="15.75" customHeight="1">
      <c r="B161" s="34"/>
      <c r="E161" s="34"/>
      <c r="J161" s="35"/>
    </row>
    <row r="162" ht="15.75" customHeight="1">
      <c r="B162" s="34"/>
      <c r="E162" s="34"/>
      <c r="J162" s="35"/>
    </row>
    <row r="163" ht="15.75" customHeight="1">
      <c r="B163" s="34"/>
      <c r="E163" s="34"/>
      <c r="J163" s="35"/>
    </row>
    <row r="164" ht="15.75" customHeight="1">
      <c r="B164" s="34"/>
      <c r="E164" s="34"/>
      <c r="J164" s="35"/>
    </row>
    <row r="165" ht="15.75" customHeight="1">
      <c r="B165" s="34"/>
      <c r="E165" s="34"/>
      <c r="J165" s="35"/>
    </row>
    <row r="166" ht="15.75" customHeight="1">
      <c r="B166" s="34"/>
      <c r="E166" s="34"/>
      <c r="J166" s="35"/>
    </row>
    <row r="167" ht="15.75" customHeight="1">
      <c r="B167" s="34"/>
      <c r="E167" s="34"/>
      <c r="J167" s="35"/>
    </row>
    <row r="168" ht="15.75" customHeight="1">
      <c r="B168" s="34"/>
      <c r="E168" s="34"/>
      <c r="J168" s="35"/>
    </row>
    <row r="169" ht="15.75" customHeight="1">
      <c r="B169" s="34"/>
      <c r="E169" s="34"/>
      <c r="J169" s="35"/>
    </row>
    <row r="170" ht="15.75" customHeight="1">
      <c r="B170" s="34"/>
      <c r="E170" s="34"/>
      <c r="J170" s="35"/>
    </row>
    <row r="171" ht="15.75" customHeight="1">
      <c r="B171" s="34"/>
      <c r="E171" s="34"/>
      <c r="J171" s="35"/>
    </row>
    <row r="172" ht="15.75" customHeight="1">
      <c r="B172" s="34"/>
      <c r="E172" s="34"/>
      <c r="J172" s="35"/>
    </row>
    <row r="173" ht="15.75" customHeight="1">
      <c r="B173" s="34"/>
      <c r="E173" s="34"/>
      <c r="J173" s="35"/>
    </row>
    <row r="174" ht="15.75" customHeight="1">
      <c r="B174" s="34"/>
      <c r="E174" s="34"/>
      <c r="J174" s="35"/>
    </row>
    <row r="175" ht="15.75" customHeight="1">
      <c r="B175" s="34"/>
      <c r="E175" s="34"/>
      <c r="J175" s="35"/>
    </row>
    <row r="176" ht="15.75" customHeight="1">
      <c r="B176" s="34"/>
      <c r="E176" s="34"/>
      <c r="J176" s="35"/>
    </row>
    <row r="177" ht="15.75" customHeight="1">
      <c r="B177" s="34"/>
      <c r="E177" s="34"/>
      <c r="J177" s="35"/>
    </row>
    <row r="178" ht="15.75" customHeight="1">
      <c r="B178" s="34"/>
      <c r="E178" s="34"/>
      <c r="J178" s="35"/>
    </row>
    <row r="179" ht="15.75" customHeight="1">
      <c r="B179" s="34"/>
      <c r="E179" s="34"/>
      <c r="J179" s="35"/>
    </row>
    <row r="180" ht="15.75" customHeight="1">
      <c r="B180" s="34"/>
      <c r="E180" s="34"/>
      <c r="J180" s="35"/>
    </row>
    <row r="181" ht="15.75" customHeight="1">
      <c r="B181" s="34"/>
      <c r="E181" s="34"/>
      <c r="J181" s="35"/>
    </row>
    <row r="182" ht="15.75" customHeight="1">
      <c r="B182" s="34"/>
      <c r="E182" s="34"/>
      <c r="J182" s="35"/>
    </row>
    <row r="183" ht="15.75" customHeight="1">
      <c r="B183" s="34"/>
      <c r="E183" s="34"/>
      <c r="J183" s="35"/>
    </row>
    <row r="184" ht="15.75" customHeight="1">
      <c r="B184" s="34"/>
      <c r="E184" s="34"/>
      <c r="J184" s="35"/>
    </row>
    <row r="185" ht="15.75" customHeight="1">
      <c r="B185" s="34"/>
      <c r="E185" s="34"/>
      <c r="J185" s="35"/>
    </row>
    <row r="186" ht="15.75" customHeight="1">
      <c r="B186" s="34"/>
      <c r="E186" s="34"/>
      <c r="J186" s="35"/>
    </row>
    <row r="187" ht="15.75" customHeight="1">
      <c r="B187" s="34"/>
      <c r="E187" s="34"/>
      <c r="J187" s="35"/>
    </row>
    <row r="188" ht="15.75" customHeight="1">
      <c r="B188" s="34"/>
      <c r="E188" s="34"/>
      <c r="J188" s="35"/>
    </row>
    <row r="189" ht="15.75" customHeight="1">
      <c r="B189" s="34"/>
      <c r="E189" s="34"/>
      <c r="J189" s="35"/>
    </row>
    <row r="190" ht="15.75" customHeight="1">
      <c r="B190" s="34"/>
      <c r="E190" s="34"/>
      <c r="J190" s="35"/>
    </row>
    <row r="191" ht="15.75" customHeight="1">
      <c r="B191" s="34"/>
      <c r="E191" s="34"/>
      <c r="J191" s="35"/>
    </row>
    <row r="192" ht="15.75" customHeight="1">
      <c r="B192" s="34"/>
      <c r="E192" s="34"/>
      <c r="J192" s="35"/>
    </row>
    <row r="193" ht="15.75" customHeight="1">
      <c r="B193" s="34"/>
      <c r="E193" s="34"/>
      <c r="J193" s="35"/>
    </row>
    <row r="194" ht="15.75" customHeight="1">
      <c r="B194" s="34"/>
      <c r="E194" s="34"/>
      <c r="J194" s="35"/>
    </row>
    <row r="195" ht="15.75" customHeight="1">
      <c r="B195" s="34"/>
      <c r="E195" s="34"/>
      <c r="J195" s="35"/>
    </row>
    <row r="196" ht="15.75" customHeight="1">
      <c r="B196" s="34"/>
      <c r="E196" s="34"/>
      <c r="J196" s="35"/>
    </row>
    <row r="197" ht="15.75" customHeight="1">
      <c r="B197" s="34"/>
      <c r="E197" s="34"/>
      <c r="J197" s="35"/>
    </row>
    <row r="198" ht="15.75" customHeight="1">
      <c r="B198" s="34"/>
      <c r="E198" s="34"/>
      <c r="J198" s="35"/>
    </row>
    <row r="199" ht="15.75" customHeight="1">
      <c r="B199" s="34"/>
      <c r="E199" s="34"/>
      <c r="J199" s="35"/>
    </row>
    <row r="200" ht="15.75" customHeight="1">
      <c r="B200" s="34"/>
      <c r="E200" s="34"/>
      <c r="J200" s="35"/>
    </row>
    <row r="201" ht="15.75" customHeight="1">
      <c r="B201" s="34"/>
      <c r="E201" s="34"/>
      <c r="J201" s="35"/>
    </row>
    <row r="202" ht="15.75" customHeight="1">
      <c r="B202" s="34"/>
      <c r="E202" s="34"/>
      <c r="J202" s="35"/>
    </row>
    <row r="203" ht="15.75" customHeight="1">
      <c r="B203" s="34"/>
      <c r="E203" s="34"/>
      <c r="J203" s="35"/>
    </row>
    <row r="204" ht="15.75" customHeight="1">
      <c r="B204" s="34"/>
      <c r="E204" s="34"/>
      <c r="J204" s="35"/>
    </row>
    <row r="205" ht="15.75" customHeight="1">
      <c r="B205" s="34"/>
      <c r="E205" s="34"/>
      <c r="J205" s="35"/>
    </row>
    <row r="206" ht="15.75" customHeight="1">
      <c r="B206" s="34"/>
      <c r="E206" s="34"/>
      <c r="J206" s="35"/>
    </row>
    <row r="207" ht="15.75" customHeight="1">
      <c r="B207" s="34"/>
      <c r="E207" s="34"/>
      <c r="J207" s="35"/>
    </row>
    <row r="208" ht="15.75" customHeight="1">
      <c r="B208" s="34"/>
      <c r="E208" s="34"/>
      <c r="J208" s="35"/>
    </row>
    <row r="209" ht="15.75" customHeight="1">
      <c r="B209" s="34"/>
      <c r="E209" s="34"/>
      <c r="J209" s="35"/>
    </row>
    <row r="210" ht="15.75" customHeight="1">
      <c r="B210" s="34"/>
      <c r="E210" s="34"/>
      <c r="J210" s="35"/>
    </row>
    <row r="211" ht="15.75" customHeight="1">
      <c r="B211" s="34"/>
      <c r="E211" s="34"/>
      <c r="J211" s="35"/>
    </row>
    <row r="212" ht="15.75" customHeight="1">
      <c r="B212" s="34"/>
      <c r="E212" s="34"/>
      <c r="J212" s="35"/>
    </row>
    <row r="213" ht="15.75" customHeight="1">
      <c r="B213" s="34"/>
      <c r="E213" s="34"/>
      <c r="J213" s="35"/>
    </row>
    <row r="214" ht="15.75" customHeight="1">
      <c r="B214" s="34"/>
      <c r="E214" s="34"/>
      <c r="J214" s="35"/>
    </row>
    <row r="215" ht="15.75" customHeight="1">
      <c r="B215" s="34"/>
      <c r="E215" s="34"/>
      <c r="J215" s="35"/>
    </row>
    <row r="216" ht="15.75" customHeight="1">
      <c r="B216" s="34"/>
      <c r="E216" s="34"/>
      <c r="J216" s="35"/>
    </row>
    <row r="217" ht="15.75" customHeight="1">
      <c r="B217" s="34"/>
      <c r="E217" s="34"/>
      <c r="J217" s="35"/>
    </row>
    <row r="218" ht="15.75" customHeight="1">
      <c r="B218" s="34"/>
      <c r="E218" s="34"/>
      <c r="J218" s="35"/>
    </row>
    <row r="219" ht="15.75" customHeight="1">
      <c r="B219" s="34"/>
      <c r="E219" s="34"/>
      <c r="J219" s="35"/>
    </row>
    <row r="220" ht="15.75" customHeight="1">
      <c r="B220" s="34"/>
      <c r="E220" s="34"/>
      <c r="J220" s="35"/>
    </row>
    <row r="221" ht="15.75" customHeight="1">
      <c r="B221" s="34"/>
      <c r="E221" s="34"/>
      <c r="J221" s="35"/>
    </row>
    <row r="222" ht="15.75" customHeight="1">
      <c r="B222" s="34"/>
      <c r="E222" s="34"/>
      <c r="J222" s="35"/>
    </row>
    <row r="223" ht="15.75" customHeight="1">
      <c r="B223" s="34"/>
      <c r="E223" s="34"/>
      <c r="J223" s="35"/>
    </row>
    <row r="224" ht="15.75" customHeight="1">
      <c r="B224" s="34"/>
      <c r="E224" s="34"/>
      <c r="J224" s="35"/>
    </row>
    <row r="225" ht="15.75" customHeight="1">
      <c r="B225" s="34"/>
      <c r="E225" s="34"/>
      <c r="J225" s="35"/>
    </row>
    <row r="226" ht="15.75" customHeight="1">
      <c r="B226" s="34"/>
      <c r="E226" s="34"/>
      <c r="J226" s="35"/>
    </row>
    <row r="227" ht="15.75" customHeight="1">
      <c r="B227" s="34"/>
      <c r="E227" s="34"/>
      <c r="J227" s="35"/>
    </row>
    <row r="228" ht="15.75" customHeight="1">
      <c r="B228" s="34"/>
      <c r="E228" s="34"/>
      <c r="J228" s="35"/>
    </row>
    <row r="229" ht="15.75" customHeight="1">
      <c r="B229" s="34"/>
      <c r="E229" s="34"/>
      <c r="J229" s="35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1">
    <mergeCell ref="A2:A33"/>
  </mergeCells>
  <conditionalFormatting sqref="I2:I40">
    <cfRule type="cellIs" dxfId="0" priority="1" operator="equal">
      <formula>"Pass"</formula>
    </cfRule>
  </conditionalFormatting>
  <conditionalFormatting sqref="I2:I40">
    <cfRule type="cellIs" dxfId="1" priority="2" operator="equal">
      <formula>"Fail"</formula>
    </cfRule>
  </conditionalFormatting>
  <conditionalFormatting sqref="I2:I40">
    <cfRule type="containsText" dxfId="2" priority="3" operator="containsText" text="Blocked">
      <formula>NOT(ISERROR(SEARCH(("Blocked"),(I2))))</formula>
    </cfRule>
  </conditionalFormatting>
  <hyperlinks>
    <hyperlink r:id="rId1" ref="H8"/>
    <hyperlink r:id="rId2" ref="H9"/>
    <hyperlink r:id="rId3" ref="H10"/>
  </hyperlinks>
  <printOptions/>
  <pageMargins bottom="0.75" footer="0.0" header="0.0" left="0.7" right="0.7" top="0.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20.88"/>
    <col customWidth="1" min="3" max="3" width="19.63"/>
    <col customWidth="1" min="4" max="4" width="22.75"/>
    <col customWidth="1" min="5" max="5" width="23.88"/>
    <col customWidth="1" min="6" max="6" width="20.38"/>
    <col customWidth="1" min="7" max="7" width="23.75"/>
    <col customWidth="1" min="8" max="8" width="20.38"/>
    <col customWidth="1" min="9" max="9" width="22.13"/>
  </cols>
  <sheetData>
    <row r="1" ht="67.5" customHeight="1">
      <c r="A1" s="36" t="s">
        <v>154</v>
      </c>
      <c r="B1" s="36" t="s">
        <v>155</v>
      </c>
      <c r="C1" s="36" t="s">
        <v>156</v>
      </c>
      <c r="D1" s="36" t="s">
        <v>157</v>
      </c>
      <c r="E1" s="36" t="s">
        <v>158</v>
      </c>
      <c r="F1" s="36" t="s">
        <v>159</v>
      </c>
      <c r="G1" s="36" t="s">
        <v>160</v>
      </c>
      <c r="H1" s="36" t="s">
        <v>161</v>
      </c>
      <c r="I1" s="36" t="s">
        <v>158</v>
      </c>
    </row>
    <row r="2" ht="75.75" customHeight="1">
      <c r="A2" s="37">
        <f>COUNTIF(TestCases!B2:B69,"*")</f>
        <v>32</v>
      </c>
      <c r="B2" s="37">
        <f>COUNTIF(TestCases!I2:O69,"Pass")</f>
        <v>16</v>
      </c>
      <c r="C2" s="37">
        <f>COUNTIF(TestCases!I2:I69,"Fail")</f>
        <v>10</v>
      </c>
      <c r="D2" s="37">
        <f>COUNTIF(TestCases!I2:I69,"Blocked")</f>
        <v>6</v>
      </c>
      <c r="E2" s="37">
        <f>B2+C2</f>
        <v>26</v>
      </c>
      <c r="F2" s="38">
        <f>(D2/A2)*100</f>
        <v>18.75</v>
      </c>
      <c r="G2" s="39">
        <f>(C2/A2)*100</f>
        <v>31.25</v>
      </c>
      <c r="H2" s="38">
        <f>(B2/A2)*100</f>
        <v>50</v>
      </c>
      <c r="I2" s="39">
        <f>((B2+C2)/A2)*100</f>
        <v>81.25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1" priority="1" operator="between">
      <formula>0</formula>
      <formula>25</formula>
    </cfRule>
  </conditionalFormatting>
  <conditionalFormatting sqref="I2">
    <cfRule type="cellIs" dxfId="2" priority="2" operator="between">
      <formula>26</formula>
      <formula>50</formula>
    </cfRule>
  </conditionalFormatting>
  <conditionalFormatting sqref="I2">
    <cfRule type="cellIs" dxfId="3" priority="3" operator="between">
      <formula>51</formula>
      <formula>75</formula>
    </cfRule>
  </conditionalFormatting>
  <conditionalFormatting sqref="I2">
    <cfRule type="cellIs" dxfId="0" priority="4" operator="between">
      <formula>76</formula>
      <formula>100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