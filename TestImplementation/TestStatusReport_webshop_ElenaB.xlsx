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 state="visible" name="Results" sheetId="2" r:id="rId5"/>
  </sheets>
  <definedNames/>
  <calcPr/>
  <extLst>
    <ext uri="GoogleSheetsCustomDataVersion2">
      <go:sheetsCustomData xmlns:go="http://customooxmlschemas.google.com/" r:id="rId6" roundtripDataChecksum="vPfm3auBjfAR5/ifquONjDnzetSrH9AQECnwQiSG4rs="/>
    </ext>
  </extLst>
</workbook>
</file>

<file path=xl/sharedStrings.xml><?xml version="1.0" encoding="utf-8"?>
<sst xmlns="http://schemas.openxmlformats.org/spreadsheetml/2006/main" count="175" uniqueCount="138">
  <si>
    <t>Test Suite/Scenario</t>
  </si>
  <si>
    <t>TestCaseID - Title</t>
  </si>
  <si>
    <t>Priority</t>
  </si>
  <si>
    <t>Automated</t>
  </si>
  <si>
    <t>Test Steps</t>
  </si>
  <si>
    <t>Test Data</t>
  </si>
  <si>
    <t>Expected Result</t>
  </si>
  <si>
    <t>Actual Result</t>
  </si>
  <si>
    <t>Pass/Fail/Blocked</t>
  </si>
  <si>
    <t>BUG ID</t>
  </si>
  <si>
    <t>Proiect WebShop</t>
  </si>
  <si>
    <t>1 - Login: User valid si parola valida</t>
  </si>
  <si>
    <t>P1</t>
  </si>
  <si>
    <t>1. accesam site
2. introducem in campul Username date valide
3. introducem in campul Password date valide
4. apasam butonul Login</t>
  </si>
  <si>
    <t>1. Bogdan
2. 12345678</t>
  </si>
  <si>
    <t>Redirectionare catre Home Page</t>
  </si>
  <si>
    <t>2 - Login: User valid si parola invalida</t>
  </si>
  <si>
    <t>1. accesam site
2. introducem in campul Username date valide
3. introducem in campul Password date invalide
4. apasam butonul Login</t>
  </si>
  <si>
    <t>1. Bogdan
2. 12345677</t>
  </si>
  <si>
    <t>Mesaj eroare: "Epic sadface: Username and password do not match any user in this service"</t>
  </si>
  <si>
    <t>3 - Login: User invalid</t>
  </si>
  <si>
    <t>1. accesam site
2. introducem in campul Username date invalide
3. introducem in campul Password date 
4. apasam butonul Login</t>
  </si>
  <si>
    <t>1. Bogdann
2. 12345678</t>
  </si>
  <si>
    <t>4 - Login: User necompletat</t>
  </si>
  <si>
    <t>1. accesam site
2. Username date necompletat
3. introducem in campul Password date 
4. apasam butonul Login</t>
  </si>
  <si>
    <t>1. 
2. 12345678</t>
  </si>
  <si>
    <t>Mesaj eroare: "Epic sadface: Username is required"</t>
  </si>
  <si>
    <t>5 - Login: Parola necompletata</t>
  </si>
  <si>
    <t>1. accesam site
2. introducem in campul Username date valid
3. campul Password date necompletat
4. apasam butonul Login</t>
  </si>
  <si>
    <t xml:space="preserve">1. Bogdan
2. </t>
  </si>
  <si>
    <t>Mesaj eroare: "Epic sadface: Password is required"</t>
  </si>
  <si>
    <t>6 - Home: Filtrare de la A la Z</t>
  </si>
  <si>
    <t>1. autentificare reusita
2. selectam nume ascendent</t>
  </si>
  <si>
    <t xml:space="preserve">Name(A to Z). </t>
  </si>
  <si>
    <t>Afisare produse in ordine alfabetica</t>
  </si>
  <si>
    <t>7 - Home: Filtrare de la Z la A</t>
  </si>
  <si>
    <t>1. autentificare reusita
2. selectam nume descendent</t>
  </si>
  <si>
    <t xml:space="preserve">Name(Z to A). </t>
  </si>
  <si>
    <t xml:space="preserve">Afisare produse in ordine invers alfabetica </t>
  </si>
  <si>
    <t>8 - Home: Filtrare produse pret crescator</t>
  </si>
  <si>
    <t>1. autentificare reusita
2. selectam pret ascendent</t>
  </si>
  <si>
    <t xml:space="preserve">Price(Low to High). </t>
  </si>
  <si>
    <t>Afisare produse in ordinea crescatoare a preturilor</t>
  </si>
  <si>
    <t>9 - Home: Filtrare produse pret decrescator</t>
  </si>
  <si>
    <t>1. autentificare reusita
2. selectam pret descendent</t>
  </si>
  <si>
    <t xml:space="preserve">Price(High to Low). </t>
  </si>
  <si>
    <t>Afisare produse in ordinea descrescatoare a preturilor</t>
  </si>
  <si>
    <t>10 - Home: Adaugarea unui produs in cos</t>
  </si>
  <si>
    <t>1. cos de cumparaturi gol
2. apasam butonul Add to cart corespunzator tricou negru
3. apasam butonul cu iconita cos de cumparaturi</t>
  </si>
  <si>
    <t>2. click Add to cart (tricou negru)</t>
  </si>
  <si>
    <t>- In fereastra Home Page, butonul "Add to cart" se schimba in "Remove".
- In fereastra Your Cart, apare un produs (tricou negru).</t>
  </si>
  <si>
    <t>11 - Your Cart: Intoarcere la Home page pentru continuarea cumparaturilor</t>
  </si>
  <si>
    <t>1. cos de cumparaturi cu un produs
2. apasam butonul Continue shopping</t>
  </si>
  <si>
    <t>2. click Continue shopping</t>
  </si>
  <si>
    <t>12 - Home: Eliminarea unui produs din cos cumparaturi</t>
  </si>
  <si>
    <t>1. cos de cumparaturi cu un produs (tricou negru)
2. apasam butonul Remove corespunzator (tricou negru)
3. apasam butonul cu iconita cos de cumparaturi</t>
  </si>
  <si>
    <t>2. click Remove (tricou negru)</t>
  </si>
  <si>
    <t>- In fereastra Home Page, butonul "Remove" se schimba in "Add to cart".
- Fereastra Your Cart fara produse.</t>
  </si>
  <si>
    <t>13 - Home: Adaugarea numarului maxim de produse in cos</t>
  </si>
  <si>
    <t>1. cos de cumparaturi gol
2. apasam butonul Add to cart corespunzator celor 6 produse
3. apasam butonul cu iconita cos de cumparaturi</t>
  </si>
  <si>
    <t>2. click Add to cart (pentru fiecare din cele 6 produse)</t>
  </si>
  <si>
    <t>- In fereastra Home Page, butonul "Add to cart" se schimba in "Remove" pentru toate cele 6 produse.
- In fereastra Your Cart, apar cele 6 produse.</t>
  </si>
  <si>
    <t>14 - Home: Eliminarea numarului maxim de produse din cos</t>
  </si>
  <si>
    <t>1. cos de cumparaturi cu numar maxim de produse
2. in fereastra Home, apasam butonul Remove corespunzator fiecarui produs
3. apasam butonul cu iconita cos de cumparaturi</t>
  </si>
  <si>
    <t>2. Home: click Remove (pentru fiecare din cele 6 produse)</t>
  </si>
  <si>
    <t>- In fereastra Home Page, butonul "Remove" se schimba in "Add to cart" pentru toate cele 6 produse
- Fereastra Your Cart fara produse.</t>
  </si>
  <si>
    <t>15 - Home: Verificare Logout din Meniu</t>
  </si>
  <si>
    <t>1. apasam butonul Logout din Meniu</t>
  </si>
  <si>
    <t>1. click Logout</t>
  </si>
  <si>
    <t>Redirectionare catre Login Page</t>
  </si>
  <si>
    <t>16 - Cart: Numarul de produse este afisat corect si dupa eliminarea unui produs din cosul de cumparaturi</t>
  </si>
  <si>
    <t>1. cos de cumparaturi cu numar maxim de produse
2. apasam butonul Remove corespunzator produsului tricou negru</t>
  </si>
  <si>
    <t>Numarul de produse afisat este 5</t>
  </si>
  <si>
    <t>17 - Cart: Numarul de produse este afisat corect si dupa eliminarea tuturor produselor din cosul de cumparaturi</t>
  </si>
  <si>
    <t>1. cos de cumparaturi cu numar maxim de produse
2. apasam butonul Remove corespunzator fiecarui produs</t>
  </si>
  <si>
    <t>2. click Remove (pentru fiecare produs)</t>
  </si>
  <si>
    <t>Numarul de produse afisat este 0</t>
  </si>
  <si>
    <t>18 - Single product: Continuare cumparaturi</t>
  </si>
  <si>
    <t>1. in Home page, apasam hyperlink produs (tricou negru)
2. in Single product page,apasam hyperlink Back to products</t>
  </si>
  <si>
    <t>2. click Back to products</t>
  </si>
  <si>
    <t>19 - Single product: Un produs se poate adauga in cos din Single product page</t>
  </si>
  <si>
    <t>1. in Home page, apasam hyperlink produs (tricou negru)
2. in Single product page, apasam butonul Add to cart
3. apasam hyperlink Back to products
4. apasam butonul cu iconita cos de cumparaturi</t>
  </si>
  <si>
    <t>2. Single product: click Add to cart
3. click back to products
4. click cart</t>
  </si>
  <si>
    <t xml:space="preserve">- In fereastra Single product page, butonul "Add to cart " se schimba in "Remove"
- Redirectionare catre Home page
- Fereastra Your Cart cu produs adaugat </t>
  </si>
  <si>
    <t xml:space="preserve">20 - Single product: Un produs se poate elimina din cos din Single product page
</t>
  </si>
  <si>
    <t>1. in Single product page, apasam butonul Remove 
2. apasam hyperlink Back to products
3. apasam butonul cu iconita cos de cumparaturi</t>
  </si>
  <si>
    <t>1. Single product: click Remove
2. click Back to products
3. click cart</t>
  </si>
  <si>
    <t>- In fereastra Single product page, butonul "Remove " se schimba in "Add to cart"
- Redirectionare catre Home page
- Fereastra Your Cart cu produs sters</t>
  </si>
  <si>
    <t>21 - Single product: Verificare All Items din Meniu</t>
  </si>
  <si>
    <t>1. apasam butonul All Items din Meniu</t>
  </si>
  <si>
    <t>1. click All Items</t>
  </si>
  <si>
    <t>22 - Cart: Continuarea catre plasare comenzi</t>
  </si>
  <si>
    <t xml:space="preserve">1. cos cumparaturi cu produse
2. apasam butonul Checkout </t>
  </si>
  <si>
    <t>2. click Checkout</t>
  </si>
  <si>
    <t>Redirectionare catre Checkout Page</t>
  </si>
  <si>
    <t>23 - Checkout Information: Camp gol pentru First Name</t>
  </si>
  <si>
    <t>1. campul First Name gol
2. completam campul Last Name
3. completam campul Zip/Postal code
4. apasam butonul Continue</t>
  </si>
  <si>
    <t>1. 
2. Popescu
3. 111144</t>
  </si>
  <si>
    <t xml:space="preserve">Mesaj "Error: First Name is required" </t>
  </si>
  <si>
    <t>24 - Checkout Information: Camp gol pentru Last Name</t>
  </si>
  <si>
    <t>1. completam campul First Name
2. campul Last Name gol
3. completam campul Zip/Postal code
4. apasam butonul Continue</t>
  </si>
  <si>
    <t>1. Bogdan
2. 
3. 111144</t>
  </si>
  <si>
    <t xml:space="preserve">Mesaj "Error: Last Name is required" </t>
  </si>
  <si>
    <t>25 - Checkout Information: Camp gol pentru Zip/Postal code</t>
  </si>
  <si>
    <t>1. completam campul First Name
2. completam campul Last Name
3. campul Zip/Postal code gol
4. apasam butonul Continue</t>
  </si>
  <si>
    <t xml:space="preserve">1. Bogdan
2. Popescu
3. </t>
  </si>
  <si>
    <t>Mesaj "Error: Zip/PostalCode is required"</t>
  </si>
  <si>
    <t>26 - Checkout Information: Toate campurile sunt goale</t>
  </si>
  <si>
    <t>1. campul First Name gol
2. campul Last Name gol
3. campul Zip/Postal code gol
4. apasam butonul Continue</t>
  </si>
  <si>
    <t xml:space="preserve">1. 
2. 
3. </t>
  </si>
  <si>
    <t>Mesaj “Error: First Name is required"</t>
  </si>
  <si>
    <t>27 - Checkout Information: Continuarea cu date corecte</t>
  </si>
  <si>
    <t>1. completam campul First Name
2. completam campul Last Name
3. completam campul Zip/Postal code
4. apasam butonul Continue</t>
  </si>
  <si>
    <t>1. Bogdan
2. Popescu
3. 111144</t>
  </si>
  <si>
    <t>- Redirectionare catre Checkout Overview Page
- Informatiile afisate sunt corecte</t>
  </si>
  <si>
    <t>28 - Checkout Overview: Informatiile afisate sunt corecte si mergem la finalizarea comenzii</t>
  </si>
  <si>
    <t>1. date corecte completate in Checkout Information
2. apasam butonul Finish</t>
  </si>
  <si>
    <t>1. click Finish</t>
  </si>
  <si>
    <t>- Mesaj  "Thank you for your order!" 
- Redirectionare catre Finish Page</t>
  </si>
  <si>
    <t>29 - Checkout Overview: Anulare</t>
  </si>
  <si>
    <t>1. date corecte completate in Checkout Information
2. apasam butonul Cancel</t>
  </si>
  <si>
    <t>2. click Cancel</t>
  </si>
  <si>
    <t>Redirectionare catre Checkout Your Information Page</t>
  </si>
  <si>
    <t>30 - Checkout Information: Anulare</t>
  </si>
  <si>
    <t>1. apasam butonul Cancel</t>
  </si>
  <si>
    <t>1. click Cancel</t>
  </si>
  <si>
    <t>Redirectionare catre Your Cart Page</t>
  </si>
  <si>
    <t>31 - Cart: Continuarea catre plasare comenzi cos cumparaturi gol</t>
  </si>
  <si>
    <t xml:space="preserve">1. cos cumparaturi gol
2. apasam butonul Checkout </t>
  </si>
  <si>
    <t>?Checkout indisponibil</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</si>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</sst>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Verdana"/>
    </font>
    <font>
      <sz val="10.0"/>
      <color theme="1"/>
      <name val="Verdana"/>
    </font>
    <font>
      <sz val="10.0"/>
      <color theme="1"/>
      <name val="Arial"/>
    </font>
    <font>
      <sz val="14.0"/>
      <color theme="1"/>
      <name val="Verdana"/>
    </font>
    <font/>
    <font>
      <sz val="14.0"/>
      <color theme="1"/>
      <name val="Arial"/>
    </font>
    <font>
      <b/>
      <sz val="14.0"/>
      <color theme="1"/>
      <name val="Arial"/>
    </font>
    <font>
      <b/>
      <sz val="14.0"/>
      <color rgb="FF1155CC"/>
      <name val="Inconsolata"/>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shrinkToFit="0" wrapText="1"/>
    </xf>
    <xf borderId="3" fillId="0" fontId="2"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horizontal="center" shrinkToFit="0" vertical="center" wrapText="1"/>
    </xf>
    <xf borderId="1" fillId="0" fontId="2"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1" fillId="0" fontId="2" numFmtId="0" xfId="0" applyAlignment="1" applyBorder="1" applyFont="1">
      <alignment horizontal="left" shrinkToFit="0" wrapText="1"/>
    </xf>
    <xf borderId="1" fillId="0" fontId="4" numFmtId="0" xfId="0" applyAlignment="1" applyBorder="1" applyFont="1">
      <alignment horizontal="center" shrinkToFit="0" wrapText="1"/>
    </xf>
    <xf borderId="4" fillId="0" fontId="5" numFmtId="0" xfId="0" applyBorder="1" applyFont="1"/>
    <xf borderId="5" fillId="0" fontId="5" numFmtId="0" xfId="0" applyBorder="1" applyFont="1"/>
    <xf borderId="0" fillId="0" fontId="2" numFmtId="0" xfId="0" applyAlignment="1" applyFont="1">
      <alignment horizontal="center" shrinkToFit="0" vertical="center" wrapText="1"/>
    </xf>
    <xf borderId="1" fillId="3" fontId="2" numFmtId="0" xfId="0" applyAlignment="1" applyBorder="1" applyFill="1" applyFont="1">
      <alignment horizontal="left" shrinkToFit="0" wrapText="1"/>
    </xf>
    <xf borderId="5" fillId="0" fontId="3" numFmtId="0" xfId="0" applyBorder="1" applyFont="1"/>
    <xf borderId="1" fillId="0" fontId="3" numFmtId="0" xfId="0" applyBorder="1" applyFont="1"/>
    <xf borderId="1" fillId="0" fontId="3" numFmtId="0" xfId="0" applyAlignment="1" applyBorder="1" applyFont="1">
      <alignment horizontal="center"/>
    </xf>
    <xf borderId="1" fillId="0" fontId="3" numFmtId="0" xfId="0" applyAlignment="1" applyBorder="1" applyFont="1">
      <alignment readingOrder="0" shrinkToFit="0" wrapText="1"/>
    </xf>
    <xf borderId="1" fillId="0" fontId="3" numFmtId="0" xfId="0" applyAlignment="1" applyBorder="1" applyFont="1">
      <alignment readingOrder="0"/>
    </xf>
    <xf quotePrefix="1" borderId="1" fillId="0" fontId="3" numFmtId="0" xfId="0" applyAlignment="1" applyBorder="1" applyFont="1">
      <alignment readingOrder="0"/>
    </xf>
    <xf quotePrefix="1" borderId="1" fillId="0" fontId="2" numFmtId="0" xfId="0" applyAlignment="1" applyBorder="1" applyFont="1">
      <alignment horizontal="left" readingOrder="0" shrinkToFit="0" wrapText="1"/>
    </xf>
    <xf borderId="1" fillId="0" fontId="3"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horizontal="center"/>
    </xf>
    <xf borderId="1" fillId="4" fontId="6" numFmtId="0" xfId="0" applyAlignment="1" applyBorder="1" applyFill="1" applyFont="1">
      <alignment horizontal="center"/>
    </xf>
    <xf borderId="1" fillId="0" fontId="7" numFmtId="0" xfId="0" applyAlignment="1" applyBorder="1" applyFont="1">
      <alignment horizontal="center"/>
    </xf>
    <xf borderId="1" fillId="3" fontId="8" numFmtId="2" xfId="0" applyAlignment="1" applyBorder="1" applyFont="1" applyNumberFormat="1">
      <alignment horizontal="center"/>
    </xf>
    <xf borderId="1" fillId="0" fontId="7" numFmtId="2" xfId="0" applyAlignment="1" applyBorder="1" applyFont="1" applyNumberFormat="1">
      <alignment horizontal="center"/>
    </xf>
  </cellXfs>
  <cellStyles count="1">
    <cellStyle xfId="0" name="Normal" builtinId="0"/>
  </cellStyles>
  <dxfs count="4">
    <dxf>
      <font/>
      <fill>
        <patternFill patternType="solid">
          <fgColor rgb="FF38761D"/>
          <bgColor rgb="FF38761D"/>
        </patternFill>
      </fill>
      <border/>
    </dxf>
    <dxf>
      <font/>
      <fill>
        <patternFill patternType="solid">
          <fgColor rgb="FFCC0000"/>
          <bgColor rgb="FFCC0000"/>
        </patternFill>
      </fill>
      <border/>
    </dxf>
    <dxf>
      <font/>
      <fill>
        <patternFill patternType="solid">
          <fgColor rgb="FFEA9999"/>
          <bgColor rgb="FFEA9999"/>
        </patternFill>
      </fill>
      <border/>
    </dxf>
    <dxf>
      <font/>
      <fill>
        <patternFill patternType="solid">
          <fgColor rgb="FFF1C232"/>
          <bgColor rgb="FFF1C23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63"/>
    <col customWidth="1" min="2" max="2" width="31.38"/>
    <col customWidth="1" min="3" max="4" width="11.88"/>
    <col customWidth="1" min="5" max="5" width="47.75"/>
    <col customWidth="1" min="6" max="6" width="20.75"/>
    <col customWidth="1" min="7" max="7" width="21.38"/>
    <col customWidth="1" min="8" max="8" width="19.13"/>
    <col customWidth="1" min="9" max="9" width="27.0"/>
    <col customWidth="1" min="10" max="10" width="21.63"/>
  </cols>
  <sheetData>
    <row r="1" ht="69.75" customHeight="1">
      <c r="A1" s="1" t="s">
        <v>0</v>
      </c>
      <c r="B1" s="1" t="s">
        <v>1</v>
      </c>
      <c r="C1" s="2" t="s">
        <v>2</v>
      </c>
      <c r="D1" s="2" t="s">
        <v>3</v>
      </c>
      <c r="E1" s="1" t="s">
        <v>4</v>
      </c>
      <c r="F1" s="1" t="s">
        <v>5</v>
      </c>
      <c r="G1" s="1" t="s">
        <v>6</v>
      </c>
      <c r="H1" s="1" t="s">
        <v>7</v>
      </c>
      <c r="I1" s="1" t="s">
        <v>8</v>
      </c>
      <c r="J1" s="1" t="s">
        <v>9</v>
      </c>
    </row>
    <row r="2" ht="75.0" customHeight="1">
      <c r="A2" s="3" t="s">
        <v>10</v>
      </c>
      <c r="B2" s="4" t="s">
        <v>11</v>
      </c>
      <c r="C2" s="5" t="s">
        <v>12</v>
      </c>
      <c r="D2" s="5"/>
      <c r="E2" s="6" t="s">
        <v>13</v>
      </c>
      <c r="F2" s="7" t="s">
        <v>14</v>
      </c>
      <c r="G2" s="8" t="s">
        <v>15</v>
      </c>
      <c r="H2" s="8"/>
      <c r="I2" s="9"/>
      <c r="J2" s="9"/>
    </row>
    <row r="3" ht="81.0" customHeight="1">
      <c r="A3" s="10"/>
      <c r="B3" s="4" t="s">
        <v>16</v>
      </c>
      <c r="C3" s="5" t="s">
        <v>12</v>
      </c>
      <c r="D3" s="5"/>
      <c r="E3" s="6" t="s">
        <v>17</v>
      </c>
      <c r="F3" s="7" t="s">
        <v>18</v>
      </c>
      <c r="G3" s="6" t="s">
        <v>19</v>
      </c>
      <c r="H3" s="8"/>
      <c r="I3" s="9"/>
      <c r="J3" s="9"/>
    </row>
    <row r="4" ht="96.75" customHeight="1">
      <c r="A4" s="11"/>
      <c r="B4" s="4" t="s">
        <v>20</v>
      </c>
      <c r="C4" s="5" t="s">
        <v>12</v>
      </c>
      <c r="D4" s="5"/>
      <c r="E4" s="6" t="s">
        <v>21</v>
      </c>
      <c r="F4" s="7" t="s">
        <v>22</v>
      </c>
      <c r="G4" s="6" t="s">
        <v>19</v>
      </c>
      <c r="H4" s="8"/>
      <c r="I4" s="9"/>
      <c r="J4" s="9"/>
    </row>
    <row r="5" ht="81.0" customHeight="1">
      <c r="A5" s="12"/>
      <c r="B5" s="4" t="s">
        <v>23</v>
      </c>
      <c r="C5" s="5" t="s">
        <v>12</v>
      </c>
      <c r="D5" s="5"/>
      <c r="E5" s="6" t="s">
        <v>24</v>
      </c>
      <c r="F5" s="7" t="s">
        <v>25</v>
      </c>
      <c r="G5" s="6" t="s">
        <v>26</v>
      </c>
      <c r="H5" s="13"/>
      <c r="I5" s="9"/>
      <c r="J5" s="9"/>
    </row>
    <row r="6" ht="83.25" customHeight="1">
      <c r="A6" s="12"/>
      <c r="B6" s="4" t="s">
        <v>27</v>
      </c>
      <c r="C6" s="5" t="s">
        <v>12</v>
      </c>
      <c r="D6" s="5"/>
      <c r="E6" s="6" t="s">
        <v>28</v>
      </c>
      <c r="F6" s="7" t="s">
        <v>29</v>
      </c>
      <c r="G6" s="6" t="s">
        <v>30</v>
      </c>
      <c r="H6" s="13"/>
      <c r="I6" s="9"/>
      <c r="J6" s="9"/>
    </row>
    <row r="7" ht="83.25" customHeight="1">
      <c r="A7" s="12"/>
      <c r="B7" s="4" t="s">
        <v>31</v>
      </c>
      <c r="C7" s="5" t="s">
        <v>12</v>
      </c>
      <c r="D7" s="5"/>
      <c r="E7" s="6" t="s">
        <v>32</v>
      </c>
      <c r="F7" s="7" t="s">
        <v>33</v>
      </c>
      <c r="G7" s="6" t="s">
        <v>34</v>
      </c>
      <c r="H7" s="13"/>
      <c r="I7" s="9"/>
      <c r="J7" s="9"/>
    </row>
    <row r="8" ht="66.75" customHeight="1">
      <c r="A8" s="14"/>
      <c r="B8" s="4" t="s">
        <v>35</v>
      </c>
      <c r="C8" s="5" t="s">
        <v>12</v>
      </c>
      <c r="D8" s="5"/>
      <c r="E8" s="6" t="s">
        <v>36</v>
      </c>
      <c r="F8" s="7" t="s">
        <v>37</v>
      </c>
      <c r="G8" s="6" t="s">
        <v>38</v>
      </c>
      <c r="H8" s="15"/>
      <c r="I8" s="9"/>
      <c r="J8" s="16"/>
    </row>
    <row r="9" ht="74.25" customHeight="1">
      <c r="A9" s="15"/>
      <c r="B9" s="4" t="s">
        <v>39</v>
      </c>
      <c r="C9" s="5" t="s">
        <v>12</v>
      </c>
      <c r="D9" s="5"/>
      <c r="E9" s="6" t="s">
        <v>40</v>
      </c>
      <c r="F9" s="7" t="s">
        <v>41</v>
      </c>
      <c r="G9" s="6" t="s">
        <v>42</v>
      </c>
      <c r="H9" s="15"/>
      <c r="I9" s="9"/>
      <c r="J9" s="16"/>
    </row>
    <row r="10" ht="69.75" customHeight="1">
      <c r="A10" s="15"/>
      <c r="B10" s="4" t="s">
        <v>43</v>
      </c>
      <c r="C10" s="5" t="s">
        <v>12</v>
      </c>
      <c r="D10" s="5"/>
      <c r="E10" s="6" t="s">
        <v>44</v>
      </c>
      <c r="F10" s="7" t="s">
        <v>45</v>
      </c>
      <c r="G10" s="6" t="s">
        <v>46</v>
      </c>
      <c r="H10" s="15"/>
      <c r="I10" s="9"/>
      <c r="J10" s="16"/>
    </row>
    <row r="11" ht="87.75" customHeight="1">
      <c r="A11" s="15"/>
      <c r="B11" s="17" t="s">
        <v>47</v>
      </c>
      <c r="C11" s="5" t="s">
        <v>12</v>
      </c>
      <c r="D11" s="15"/>
      <c r="E11" s="17" t="s">
        <v>48</v>
      </c>
      <c r="F11" s="18" t="s">
        <v>49</v>
      </c>
      <c r="G11" s="19" t="s">
        <v>50</v>
      </c>
      <c r="H11" s="15"/>
      <c r="I11" s="9"/>
      <c r="J11" s="16"/>
    </row>
    <row r="12" ht="69.0" customHeight="1">
      <c r="A12" s="15"/>
      <c r="B12" s="17" t="s">
        <v>51</v>
      </c>
      <c r="C12" s="5" t="s">
        <v>12</v>
      </c>
      <c r="D12" s="15"/>
      <c r="E12" s="17" t="s">
        <v>52</v>
      </c>
      <c r="F12" s="18" t="s">
        <v>53</v>
      </c>
      <c r="G12" s="6" t="s">
        <v>15</v>
      </c>
      <c r="H12" s="15"/>
      <c r="I12" s="15"/>
      <c r="J12" s="16"/>
    </row>
    <row r="13" ht="69.0" customHeight="1">
      <c r="A13" s="15"/>
      <c r="B13" s="17" t="s">
        <v>54</v>
      </c>
      <c r="C13" s="5" t="s">
        <v>12</v>
      </c>
      <c r="D13" s="15"/>
      <c r="E13" s="17" t="s">
        <v>55</v>
      </c>
      <c r="F13" s="18" t="s">
        <v>56</v>
      </c>
      <c r="G13" s="19" t="s">
        <v>57</v>
      </c>
      <c r="H13" s="15"/>
      <c r="I13" s="15"/>
      <c r="J13" s="16"/>
    </row>
    <row r="14" ht="69.0" customHeight="1">
      <c r="A14" s="15"/>
      <c r="B14" s="17" t="s">
        <v>58</v>
      </c>
      <c r="C14" s="5" t="s">
        <v>12</v>
      </c>
      <c r="D14" s="15"/>
      <c r="E14" s="17" t="s">
        <v>59</v>
      </c>
      <c r="F14" s="18" t="s">
        <v>60</v>
      </c>
      <c r="G14" s="19" t="s">
        <v>61</v>
      </c>
      <c r="H14" s="15"/>
      <c r="I14" s="15"/>
      <c r="J14" s="16"/>
    </row>
    <row r="15" ht="69.75" customHeight="1">
      <c r="A15" s="15"/>
      <c r="B15" s="17" t="s">
        <v>62</v>
      </c>
      <c r="C15" s="5" t="s">
        <v>12</v>
      </c>
      <c r="D15" s="15"/>
      <c r="E15" s="17" t="s">
        <v>63</v>
      </c>
      <c r="F15" s="18" t="s">
        <v>64</v>
      </c>
      <c r="G15" s="19" t="s">
        <v>65</v>
      </c>
      <c r="H15" s="15"/>
      <c r="I15" s="15"/>
      <c r="J15" s="16"/>
    </row>
    <row r="16" ht="69.0" customHeight="1">
      <c r="A16" s="15"/>
      <c r="B16" s="17" t="s">
        <v>66</v>
      </c>
      <c r="C16" s="5" t="s">
        <v>12</v>
      </c>
      <c r="D16" s="15"/>
      <c r="E16" s="17" t="s">
        <v>67</v>
      </c>
      <c r="F16" s="18" t="s">
        <v>68</v>
      </c>
      <c r="G16" s="6" t="s">
        <v>69</v>
      </c>
      <c r="H16" s="15"/>
      <c r="I16" s="15"/>
      <c r="J16" s="16"/>
    </row>
    <row r="17" ht="54.0" customHeight="1">
      <c r="A17" s="15"/>
      <c r="B17" s="17" t="s">
        <v>70</v>
      </c>
      <c r="C17" s="5" t="s">
        <v>12</v>
      </c>
      <c r="D17" s="15"/>
      <c r="E17" s="17" t="s">
        <v>71</v>
      </c>
      <c r="F17" s="18" t="s">
        <v>56</v>
      </c>
      <c r="G17" s="18" t="s">
        <v>72</v>
      </c>
      <c r="H17" s="15"/>
      <c r="I17" s="15"/>
      <c r="J17" s="16"/>
    </row>
    <row r="18" ht="58.5" customHeight="1">
      <c r="A18" s="15"/>
      <c r="B18" s="17" t="s">
        <v>73</v>
      </c>
      <c r="C18" s="5" t="s">
        <v>12</v>
      </c>
      <c r="D18" s="15"/>
      <c r="E18" s="17" t="s">
        <v>74</v>
      </c>
      <c r="F18" s="18" t="s">
        <v>75</v>
      </c>
      <c r="G18" s="18" t="s">
        <v>76</v>
      </c>
      <c r="H18" s="15"/>
      <c r="I18" s="15"/>
      <c r="J18" s="16"/>
    </row>
    <row r="19" ht="60.75" customHeight="1">
      <c r="A19" s="15"/>
      <c r="B19" s="17" t="s">
        <v>77</v>
      </c>
      <c r="C19" s="5" t="s">
        <v>12</v>
      </c>
      <c r="D19" s="15"/>
      <c r="E19" s="17" t="s">
        <v>78</v>
      </c>
      <c r="F19" s="18" t="s">
        <v>79</v>
      </c>
      <c r="G19" s="6" t="s">
        <v>15</v>
      </c>
      <c r="H19" s="15"/>
      <c r="I19" s="15"/>
      <c r="J19" s="16"/>
    </row>
    <row r="20" ht="60.75" customHeight="1">
      <c r="A20" s="15"/>
      <c r="B20" s="17" t="s">
        <v>80</v>
      </c>
      <c r="C20" s="5" t="s">
        <v>12</v>
      </c>
      <c r="D20" s="15"/>
      <c r="E20" s="17" t="s">
        <v>81</v>
      </c>
      <c r="F20" s="18" t="s">
        <v>82</v>
      </c>
      <c r="G20" s="19" t="s">
        <v>83</v>
      </c>
      <c r="H20" s="15"/>
      <c r="I20" s="15"/>
      <c r="J20" s="16"/>
    </row>
    <row r="21" ht="60.75" customHeight="1">
      <c r="A21" s="15"/>
      <c r="B21" s="17" t="s">
        <v>84</v>
      </c>
      <c r="C21" s="5" t="s">
        <v>12</v>
      </c>
      <c r="D21" s="15"/>
      <c r="E21" s="17" t="s">
        <v>85</v>
      </c>
      <c r="F21" s="18" t="s">
        <v>86</v>
      </c>
      <c r="G21" s="19" t="s">
        <v>87</v>
      </c>
      <c r="H21" s="15"/>
      <c r="I21" s="15"/>
      <c r="J21" s="16"/>
    </row>
    <row r="22" ht="60.75" customHeight="1">
      <c r="A22" s="15"/>
      <c r="B22" s="17" t="s">
        <v>88</v>
      </c>
      <c r="C22" s="5" t="s">
        <v>12</v>
      </c>
      <c r="D22" s="15"/>
      <c r="E22" s="17" t="s">
        <v>89</v>
      </c>
      <c r="F22" s="18" t="s">
        <v>90</v>
      </c>
      <c r="G22" s="6" t="s">
        <v>15</v>
      </c>
      <c r="H22" s="15"/>
      <c r="I22" s="15"/>
      <c r="J22" s="16"/>
    </row>
    <row r="23" ht="60.75" customHeight="1">
      <c r="A23" s="15"/>
      <c r="B23" s="17" t="s">
        <v>91</v>
      </c>
      <c r="C23" s="5" t="s">
        <v>12</v>
      </c>
      <c r="D23" s="15"/>
      <c r="E23" s="17" t="s">
        <v>92</v>
      </c>
      <c r="F23" s="18" t="s">
        <v>93</v>
      </c>
      <c r="G23" s="6" t="s">
        <v>94</v>
      </c>
      <c r="H23" s="15"/>
      <c r="I23" s="15"/>
      <c r="J23" s="16"/>
    </row>
    <row r="24" ht="65.25" customHeight="1">
      <c r="A24" s="15"/>
      <c r="B24" s="17" t="s">
        <v>95</v>
      </c>
      <c r="C24" s="5" t="s">
        <v>12</v>
      </c>
      <c r="D24" s="15"/>
      <c r="E24" s="17" t="s">
        <v>96</v>
      </c>
      <c r="F24" s="18" t="s">
        <v>97</v>
      </c>
      <c r="G24" s="6" t="s">
        <v>98</v>
      </c>
      <c r="H24" s="15"/>
      <c r="I24" s="15"/>
      <c r="J24" s="16"/>
    </row>
    <row r="25" ht="65.25" customHeight="1">
      <c r="A25" s="15"/>
      <c r="B25" s="17" t="s">
        <v>99</v>
      </c>
      <c r="C25" s="5" t="s">
        <v>12</v>
      </c>
      <c r="D25" s="15"/>
      <c r="E25" s="17" t="s">
        <v>100</v>
      </c>
      <c r="F25" s="18" t="s">
        <v>101</v>
      </c>
      <c r="G25" s="6" t="s">
        <v>102</v>
      </c>
      <c r="H25" s="15"/>
      <c r="I25" s="15"/>
      <c r="J25" s="16"/>
    </row>
    <row r="26" ht="65.25" customHeight="1">
      <c r="A26" s="15"/>
      <c r="B26" s="17" t="s">
        <v>103</v>
      </c>
      <c r="C26" s="5" t="s">
        <v>12</v>
      </c>
      <c r="D26" s="15"/>
      <c r="E26" s="17" t="s">
        <v>104</v>
      </c>
      <c r="F26" s="18" t="s">
        <v>105</v>
      </c>
      <c r="G26" s="6" t="s">
        <v>106</v>
      </c>
      <c r="H26" s="15"/>
      <c r="I26" s="15"/>
      <c r="J26" s="16"/>
    </row>
    <row r="27" ht="65.25" customHeight="1">
      <c r="A27" s="15"/>
      <c r="B27" s="17" t="s">
        <v>107</v>
      </c>
      <c r="C27" s="5" t="s">
        <v>12</v>
      </c>
      <c r="D27" s="15"/>
      <c r="E27" s="17" t="s">
        <v>108</v>
      </c>
      <c r="F27" s="18" t="s">
        <v>109</v>
      </c>
      <c r="G27" s="6" t="s">
        <v>110</v>
      </c>
      <c r="H27" s="15"/>
      <c r="I27" s="15"/>
      <c r="J27" s="16"/>
    </row>
    <row r="28" ht="65.25" customHeight="1">
      <c r="A28" s="15"/>
      <c r="B28" s="17" t="s">
        <v>111</v>
      </c>
      <c r="C28" s="5" t="s">
        <v>12</v>
      </c>
      <c r="D28" s="15"/>
      <c r="E28" s="17" t="s">
        <v>112</v>
      </c>
      <c r="F28" s="18" t="s">
        <v>113</v>
      </c>
      <c r="G28" s="20" t="s">
        <v>114</v>
      </c>
      <c r="H28" s="15"/>
      <c r="I28" s="15"/>
      <c r="J28" s="16"/>
    </row>
    <row r="29" ht="65.25" customHeight="1">
      <c r="A29" s="15"/>
      <c r="B29" s="17" t="s">
        <v>115</v>
      </c>
      <c r="C29" s="5" t="s">
        <v>12</v>
      </c>
      <c r="D29" s="15"/>
      <c r="E29" s="17" t="s">
        <v>116</v>
      </c>
      <c r="F29" s="18" t="s">
        <v>117</v>
      </c>
      <c r="G29" s="20" t="s">
        <v>118</v>
      </c>
      <c r="H29" s="15"/>
      <c r="I29" s="15"/>
      <c r="J29" s="16"/>
    </row>
    <row r="30" ht="65.25" customHeight="1">
      <c r="A30" s="15"/>
      <c r="B30" s="17" t="s">
        <v>119</v>
      </c>
      <c r="C30" s="5" t="s">
        <v>12</v>
      </c>
      <c r="D30" s="15"/>
      <c r="E30" s="17" t="s">
        <v>120</v>
      </c>
      <c r="F30" s="18" t="s">
        <v>121</v>
      </c>
      <c r="G30" s="6" t="s">
        <v>122</v>
      </c>
      <c r="H30" s="15"/>
      <c r="I30" s="15"/>
      <c r="J30" s="16"/>
    </row>
    <row r="31" ht="65.25" customHeight="1">
      <c r="A31" s="15"/>
      <c r="B31" s="17" t="s">
        <v>123</v>
      </c>
      <c r="C31" s="5" t="s">
        <v>12</v>
      </c>
      <c r="D31" s="15"/>
      <c r="E31" s="17" t="s">
        <v>124</v>
      </c>
      <c r="F31" s="18" t="s">
        <v>125</v>
      </c>
      <c r="G31" s="6" t="s">
        <v>126</v>
      </c>
      <c r="H31" s="15"/>
      <c r="I31" s="15"/>
      <c r="J31" s="16"/>
    </row>
    <row r="32" ht="61.5" customHeight="1">
      <c r="A32" s="15"/>
      <c r="B32" s="17" t="s">
        <v>127</v>
      </c>
      <c r="C32" s="5" t="s">
        <v>12</v>
      </c>
      <c r="D32" s="15"/>
      <c r="E32" s="17" t="s">
        <v>128</v>
      </c>
      <c r="F32" s="18" t="s">
        <v>93</v>
      </c>
      <c r="G32" s="6" t="s">
        <v>129</v>
      </c>
      <c r="H32" s="15"/>
      <c r="I32" s="15"/>
      <c r="J32" s="16"/>
    </row>
    <row r="33" ht="66.75" customHeight="1">
      <c r="A33" s="15"/>
      <c r="B33" s="21"/>
      <c r="C33" s="15"/>
      <c r="D33" s="15"/>
      <c r="E33" s="21"/>
      <c r="F33" s="15"/>
      <c r="G33" s="15"/>
      <c r="H33" s="15"/>
      <c r="I33" s="15"/>
      <c r="J33" s="16"/>
    </row>
    <row r="34" ht="56.25" customHeight="1">
      <c r="A34" s="15"/>
      <c r="B34" s="21"/>
      <c r="C34" s="15"/>
      <c r="D34" s="15"/>
      <c r="E34" s="21"/>
      <c r="F34" s="15"/>
      <c r="G34" s="15"/>
      <c r="H34" s="15"/>
      <c r="I34" s="15"/>
      <c r="J34" s="16"/>
    </row>
    <row r="35" ht="61.5" customHeight="1">
      <c r="A35" s="15"/>
      <c r="B35" s="21"/>
      <c r="C35" s="15"/>
      <c r="D35" s="15"/>
      <c r="E35" s="21"/>
      <c r="F35" s="15"/>
      <c r="G35" s="15"/>
      <c r="H35" s="15"/>
      <c r="I35" s="15"/>
      <c r="J35" s="16"/>
    </row>
    <row r="36" ht="63.0" customHeight="1">
      <c r="A36" s="15"/>
      <c r="B36" s="21"/>
      <c r="C36" s="15"/>
      <c r="D36" s="15"/>
      <c r="E36" s="21"/>
      <c r="F36" s="15"/>
      <c r="G36" s="15"/>
      <c r="H36" s="15"/>
      <c r="I36" s="15"/>
      <c r="J36" s="16"/>
    </row>
    <row r="37" ht="72.0" customHeight="1">
      <c r="A37" s="15"/>
      <c r="B37" s="21"/>
      <c r="C37" s="15"/>
      <c r="D37" s="15"/>
      <c r="E37" s="21"/>
      <c r="F37" s="15"/>
      <c r="G37" s="15"/>
      <c r="H37" s="15"/>
      <c r="I37" s="15"/>
      <c r="J37" s="16"/>
    </row>
    <row r="38" ht="61.5" customHeight="1">
      <c r="A38" s="15"/>
      <c r="B38" s="21"/>
      <c r="C38" s="15"/>
      <c r="D38" s="15"/>
      <c r="E38" s="21"/>
      <c r="F38" s="15"/>
      <c r="G38" s="15"/>
      <c r="H38" s="15"/>
      <c r="I38" s="15"/>
      <c r="J38" s="16"/>
    </row>
    <row r="39" ht="65.25" customHeight="1">
      <c r="A39" s="15"/>
      <c r="B39" s="21"/>
      <c r="C39" s="15"/>
      <c r="D39" s="15"/>
      <c r="E39" s="21"/>
      <c r="F39" s="15"/>
      <c r="G39" s="15"/>
      <c r="H39" s="15"/>
      <c r="I39" s="15"/>
      <c r="J39" s="16"/>
    </row>
    <row r="40" ht="57.75" customHeight="1">
      <c r="A40" s="15"/>
      <c r="B40" s="21"/>
      <c r="C40" s="15"/>
      <c r="D40" s="15"/>
      <c r="E40" s="21"/>
      <c r="F40" s="15"/>
      <c r="G40" s="15"/>
      <c r="H40" s="15"/>
      <c r="I40" s="15"/>
      <c r="J40" s="16"/>
    </row>
    <row r="41" ht="73.5" customHeight="1">
      <c r="A41" s="15"/>
      <c r="B41" s="21"/>
      <c r="C41" s="15"/>
      <c r="D41" s="15"/>
      <c r="E41" s="21"/>
      <c r="F41" s="15"/>
      <c r="G41" s="15"/>
      <c r="H41" s="15"/>
      <c r="I41" s="15"/>
      <c r="J41" s="16"/>
    </row>
    <row r="42" ht="15.75" customHeight="1">
      <c r="B42" s="22"/>
      <c r="E42" s="22"/>
      <c r="J42" s="23"/>
    </row>
    <row r="43" ht="15.75" customHeight="1">
      <c r="B43" s="22"/>
      <c r="E43" s="22"/>
      <c r="J43" s="23"/>
    </row>
    <row r="44" ht="15.75" customHeight="1">
      <c r="B44" s="22"/>
      <c r="E44" s="22"/>
      <c r="J44" s="23"/>
    </row>
    <row r="45" ht="15.75" customHeight="1">
      <c r="B45" s="22"/>
      <c r="E45" s="22"/>
      <c r="J45" s="23"/>
    </row>
    <row r="46" ht="15.75" customHeight="1">
      <c r="B46" s="22"/>
      <c r="E46" s="22"/>
      <c r="J46" s="23"/>
    </row>
    <row r="47" ht="15.75" customHeight="1">
      <c r="B47" s="22"/>
      <c r="E47" s="22"/>
      <c r="J47" s="23"/>
    </row>
    <row r="48" ht="15.75" customHeight="1">
      <c r="B48" s="22"/>
      <c r="E48" s="22"/>
      <c r="J48" s="23"/>
    </row>
    <row r="49" ht="15.75" customHeight="1">
      <c r="B49" s="22"/>
      <c r="E49" s="22"/>
      <c r="J49" s="23"/>
    </row>
    <row r="50" ht="15.75" customHeight="1">
      <c r="B50" s="22"/>
      <c r="E50" s="22"/>
      <c r="J50" s="23"/>
    </row>
    <row r="51" ht="15.75" customHeight="1">
      <c r="B51" s="22"/>
      <c r="E51" s="22"/>
      <c r="J51" s="23"/>
    </row>
    <row r="52" ht="15.75" customHeight="1">
      <c r="B52" s="22"/>
      <c r="E52" s="22"/>
      <c r="J52" s="23"/>
    </row>
    <row r="53" ht="15.75" customHeight="1">
      <c r="B53" s="22"/>
      <c r="E53" s="22"/>
      <c r="J53" s="23"/>
    </row>
    <row r="54" ht="15.75" customHeight="1">
      <c r="B54" s="22"/>
      <c r="E54" s="22"/>
      <c r="J54" s="23"/>
    </row>
    <row r="55" ht="15.75" customHeight="1">
      <c r="B55" s="22"/>
      <c r="E55" s="22"/>
      <c r="J55" s="23"/>
    </row>
    <row r="56" ht="15.75" customHeight="1">
      <c r="B56" s="22"/>
      <c r="E56" s="22"/>
      <c r="J56" s="23"/>
    </row>
    <row r="57" ht="15.75" customHeight="1">
      <c r="B57" s="22"/>
      <c r="E57" s="22"/>
      <c r="J57" s="23"/>
    </row>
    <row r="58" ht="15.75" customHeight="1">
      <c r="B58" s="22"/>
      <c r="E58" s="22"/>
      <c r="J58" s="23"/>
    </row>
    <row r="59" ht="15.75" customHeight="1">
      <c r="B59" s="22"/>
      <c r="E59" s="22"/>
      <c r="J59" s="23"/>
    </row>
    <row r="60" ht="15.75" customHeight="1">
      <c r="B60" s="22"/>
      <c r="E60" s="22"/>
      <c r="J60" s="23"/>
    </row>
    <row r="61" ht="15.75" customHeight="1">
      <c r="B61" s="22"/>
      <c r="E61" s="22"/>
      <c r="J61" s="23"/>
    </row>
    <row r="62" ht="15.75" customHeight="1">
      <c r="B62" s="22"/>
      <c r="E62" s="22"/>
      <c r="J62" s="23"/>
    </row>
    <row r="63" ht="15.75" customHeight="1">
      <c r="B63" s="22"/>
      <c r="E63" s="22"/>
      <c r="J63" s="23"/>
    </row>
    <row r="64" ht="15.75" customHeight="1">
      <c r="B64" s="22"/>
      <c r="E64" s="22"/>
      <c r="J64" s="23"/>
    </row>
    <row r="65" ht="15.75" customHeight="1">
      <c r="B65" s="22"/>
      <c r="E65" s="22"/>
      <c r="J65" s="23"/>
    </row>
    <row r="66" ht="15.75" customHeight="1">
      <c r="B66" s="22"/>
      <c r="E66" s="22"/>
      <c r="J66" s="23"/>
    </row>
    <row r="67" ht="15.75" customHeight="1">
      <c r="B67" s="22"/>
      <c r="E67" s="22"/>
      <c r="J67" s="23"/>
    </row>
    <row r="68" ht="15.75" customHeight="1">
      <c r="B68" s="22"/>
      <c r="E68" s="22"/>
      <c r="J68" s="23"/>
    </row>
    <row r="69" ht="15.75" customHeight="1">
      <c r="B69" s="22"/>
      <c r="E69" s="22"/>
      <c r="J69" s="23"/>
    </row>
    <row r="70" ht="15.75" customHeight="1">
      <c r="B70" s="22"/>
      <c r="E70" s="22"/>
      <c r="J70" s="23"/>
    </row>
    <row r="71" ht="15.75" customHeight="1">
      <c r="B71" s="22"/>
      <c r="E71" s="22"/>
      <c r="J71" s="23"/>
    </row>
    <row r="72" ht="15.75" customHeight="1">
      <c r="B72" s="22"/>
      <c r="E72" s="22"/>
      <c r="J72" s="23"/>
    </row>
    <row r="73" ht="15.75" customHeight="1">
      <c r="B73" s="22"/>
      <c r="E73" s="22"/>
      <c r="J73" s="23"/>
    </row>
    <row r="74" ht="15.75" customHeight="1">
      <c r="B74" s="22"/>
      <c r="E74" s="22"/>
      <c r="J74" s="23"/>
    </row>
    <row r="75" ht="15.75" customHeight="1">
      <c r="B75" s="22"/>
      <c r="E75" s="22"/>
      <c r="J75" s="23"/>
    </row>
    <row r="76" ht="15.75" customHeight="1">
      <c r="B76" s="22"/>
      <c r="E76" s="22"/>
      <c r="J76" s="23"/>
    </row>
    <row r="77" ht="15.75" customHeight="1">
      <c r="B77" s="22"/>
      <c r="E77" s="22"/>
      <c r="J77" s="23"/>
    </row>
    <row r="78" ht="15.75" customHeight="1">
      <c r="B78" s="22"/>
      <c r="E78" s="22"/>
      <c r="J78" s="23"/>
    </row>
    <row r="79" ht="15.75" customHeight="1">
      <c r="B79" s="22"/>
      <c r="E79" s="22"/>
      <c r="J79" s="23"/>
    </row>
    <row r="80" ht="15.75" customHeight="1">
      <c r="B80" s="22"/>
      <c r="E80" s="22"/>
      <c r="J80" s="23"/>
    </row>
    <row r="81" ht="15.75" customHeight="1">
      <c r="B81" s="22"/>
      <c r="E81" s="22"/>
      <c r="J81" s="23"/>
    </row>
    <row r="82" ht="15.75" customHeight="1">
      <c r="B82" s="22"/>
      <c r="E82" s="22"/>
      <c r="J82" s="23"/>
    </row>
    <row r="83" ht="15.75" customHeight="1">
      <c r="B83" s="22"/>
      <c r="E83" s="22"/>
      <c r="J83" s="23"/>
    </row>
    <row r="84" ht="15.75" customHeight="1">
      <c r="B84" s="22"/>
      <c r="E84" s="22"/>
      <c r="J84" s="23"/>
    </row>
    <row r="85" ht="15.75" customHeight="1">
      <c r="B85" s="22"/>
      <c r="E85" s="22"/>
      <c r="J85" s="23"/>
    </row>
    <row r="86" ht="15.75" customHeight="1">
      <c r="B86" s="22"/>
      <c r="E86" s="22"/>
      <c r="J86" s="23"/>
    </row>
    <row r="87" ht="15.75" customHeight="1">
      <c r="B87" s="22"/>
      <c r="E87" s="22"/>
      <c r="J87" s="23"/>
    </row>
    <row r="88" ht="15.75" customHeight="1">
      <c r="B88" s="22"/>
      <c r="E88" s="22"/>
      <c r="J88" s="23"/>
    </row>
    <row r="89" ht="15.75" customHeight="1">
      <c r="B89" s="22"/>
      <c r="E89" s="22"/>
      <c r="J89" s="23"/>
    </row>
    <row r="90" ht="15.75" customHeight="1">
      <c r="B90" s="22"/>
      <c r="E90" s="22"/>
      <c r="J90" s="23"/>
    </row>
    <row r="91" ht="15.75" customHeight="1">
      <c r="B91" s="22"/>
      <c r="E91" s="22"/>
      <c r="J91" s="23"/>
    </row>
    <row r="92" ht="15.75" customHeight="1">
      <c r="B92" s="22"/>
      <c r="E92" s="22"/>
      <c r="J92" s="23"/>
    </row>
    <row r="93" ht="15.75" customHeight="1">
      <c r="B93" s="22"/>
      <c r="E93" s="22"/>
      <c r="J93" s="23"/>
    </row>
    <row r="94" ht="15.75" customHeight="1">
      <c r="B94" s="22"/>
      <c r="E94" s="22"/>
      <c r="J94" s="23"/>
    </row>
    <row r="95" ht="15.75" customHeight="1">
      <c r="B95" s="22"/>
      <c r="E95" s="22"/>
      <c r="J95" s="23"/>
    </row>
    <row r="96" ht="15.75" customHeight="1">
      <c r="B96" s="22"/>
      <c r="E96" s="22"/>
      <c r="J96" s="23"/>
    </row>
    <row r="97" ht="15.75" customHeight="1">
      <c r="B97" s="22"/>
      <c r="E97" s="22"/>
      <c r="J97" s="23"/>
    </row>
    <row r="98" ht="15.75" customHeight="1">
      <c r="B98" s="22"/>
      <c r="E98" s="22"/>
      <c r="J98" s="23"/>
    </row>
    <row r="99" ht="15.75" customHeight="1">
      <c r="B99" s="22"/>
      <c r="E99" s="22"/>
      <c r="J99" s="23"/>
    </row>
    <row r="100" ht="15.75" customHeight="1">
      <c r="B100" s="22"/>
      <c r="E100" s="22"/>
      <c r="J100" s="23"/>
    </row>
    <row r="101" ht="15.75" customHeight="1">
      <c r="B101" s="22"/>
      <c r="E101" s="22"/>
      <c r="J101" s="23"/>
    </row>
    <row r="102" ht="15.75" customHeight="1">
      <c r="B102" s="22"/>
      <c r="E102" s="22"/>
      <c r="J102" s="23"/>
    </row>
    <row r="103" ht="15.75" customHeight="1">
      <c r="B103" s="22"/>
      <c r="E103" s="22"/>
      <c r="J103" s="23"/>
    </row>
    <row r="104" ht="15.75" customHeight="1">
      <c r="B104" s="22"/>
      <c r="E104" s="22"/>
      <c r="J104" s="23"/>
    </row>
    <row r="105" ht="15.75" customHeight="1">
      <c r="B105" s="22"/>
      <c r="E105" s="22"/>
      <c r="J105" s="23"/>
    </row>
    <row r="106" ht="15.75" customHeight="1">
      <c r="B106" s="22"/>
      <c r="E106" s="22"/>
      <c r="J106" s="23"/>
    </row>
    <row r="107" ht="15.75" customHeight="1">
      <c r="B107" s="22"/>
      <c r="E107" s="22"/>
      <c r="J107" s="23"/>
    </row>
    <row r="108" ht="15.75" customHeight="1">
      <c r="B108" s="22"/>
      <c r="E108" s="22"/>
      <c r="J108" s="23"/>
    </row>
    <row r="109" ht="15.75" customHeight="1">
      <c r="B109" s="22"/>
      <c r="E109" s="22"/>
      <c r="J109" s="23"/>
    </row>
    <row r="110" ht="15.75" customHeight="1">
      <c r="B110" s="22"/>
      <c r="E110" s="22"/>
      <c r="J110" s="23"/>
    </row>
    <row r="111" ht="15.75" customHeight="1">
      <c r="B111" s="22"/>
      <c r="E111" s="22"/>
      <c r="J111" s="23"/>
    </row>
    <row r="112" ht="15.75" customHeight="1">
      <c r="B112" s="22"/>
      <c r="E112" s="22"/>
      <c r="J112" s="23"/>
    </row>
    <row r="113" ht="15.75" customHeight="1">
      <c r="B113" s="22"/>
      <c r="E113" s="22"/>
      <c r="J113" s="23"/>
    </row>
    <row r="114" ht="15.75" customHeight="1">
      <c r="B114" s="22"/>
      <c r="E114" s="22"/>
      <c r="J114" s="23"/>
    </row>
    <row r="115" ht="15.75" customHeight="1">
      <c r="B115" s="22"/>
      <c r="E115" s="22"/>
      <c r="J115" s="23"/>
    </row>
    <row r="116" ht="15.75" customHeight="1">
      <c r="B116" s="22"/>
      <c r="E116" s="22"/>
      <c r="J116" s="23"/>
    </row>
    <row r="117" ht="15.75" customHeight="1">
      <c r="B117" s="22"/>
      <c r="E117" s="22"/>
      <c r="J117" s="23"/>
    </row>
    <row r="118" ht="15.75" customHeight="1">
      <c r="B118" s="22"/>
      <c r="E118" s="22"/>
      <c r="J118" s="23"/>
    </row>
    <row r="119" ht="15.75" customHeight="1">
      <c r="B119" s="22"/>
      <c r="E119" s="22"/>
      <c r="J119" s="23"/>
    </row>
    <row r="120" ht="15.75" customHeight="1">
      <c r="B120" s="22"/>
      <c r="E120" s="22"/>
      <c r="J120" s="23"/>
    </row>
    <row r="121" ht="15.75" customHeight="1">
      <c r="B121" s="22"/>
      <c r="E121" s="22"/>
      <c r="J121" s="23"/>
    </row>
    <row r="122" ht="15.75" customHeight="1">
      <c r="B122" s="22"/>
      <c r="E122" s="22"/>
      <c r="J122" s="23"/>
    </row>
    <row r="123" ht="15.75" customHeight="1">
      <c r="B123" s="22"/>
      <c r="E123" s="22"/>
      <c r="J123" s="23"/>
    </row>
    <row r="124" ht="15.75" customHeight="1">
      <c r="B124" s="22"/>
      <c r="E124" s="22"/>
      <c r="J124" s="23"/>
    </row>
    <row r="125" ht="15.75" customHeight="1">
      <c r="B125" s="22"/>
      <c r="E125" s="22"/>
      <c r="J125" s="23"/>
    </row>
    <row r="126" ht="15.75" customHeight="1">
      <c r="B126" s="22"/>
      <c r="E126" s="22"/>
      <c r="J126" s="23"/>
    </row>
    <row r="127" ht="15.75" customHeight="1">
      <c r="B127" s="22"/>
      <c r="E127" s="22"/>
      <c r="J127" s="23"/>
    </row>
    <row r="128" ht="15.75" customHeight="1">
      <c r="B128" s="22"/>
      <c r="E128" s="22"/>
      <c r="J128" s="23"/>
    </row>
    <row r="129" ht="15.75" customHeight="1">
      <c r="B129" s="22"/>
      <c r="E129" s="22"/>
      <c r="J129" s="23"/>
    </row>
    <row r="130" ht="15.75" customHeight="1">
      <c r="B130" s="22"/>
      <c r="E130" s="22"/>
      <c r="J130" s="23"/>
    </row>
    <row r="131" ht="15.75" customHeight="1">
      <c r="B131" s="22"/>
      <c r="E131" s="22"/>
      <c r="J131" s="23"/>
    </row>
    <row r="132" ht="15.75" customHeight="1">
      <c r="B132" s="22"/>
      <c r="E132" s="22"/>
      <c r="J132" s="23"/>
    </row>
    <row r="133" ht="15.75" customHeight="1">
      <c r="B133" s="22"/>
      <c r="E133" s="22"/>
      <c r="J133" s="23"/>
    </row>
    <row r="134" ht="15.75" customHeight="1">
      <c r="B134" s="22"/>
      <c r="E134" s="22"/>
      <c r="J134" s="23"/>
    </row>
    <row r="135" ht="15.75" customHeight="1">
      <c r="B135" s="22"/>
      <c r="E135" s="22"/>
      <c r="J135" s="23"/>
    </row>
    <row r="136" ht="15.75" customHeight="1">
      <c r="B136" s="22"/>
      <c r="E136" s="22"/>
      <c r="J136" s="23"/>
    </row>
    <row r="137" ht="15.75" customHeight="1">
      <c r="B137" s="22"/>
      <c r="E137" s="22"/>
      <c r="J137" s="23"/>
    </row>
    <row r="138" ht="15.75" customHeight="1">
      <c r="B138" s="22"/>
      <c r="E138" s="22"/>
      <c r="J138" s="23"/>
    </row>
    <row r="139" ht="15.75" customHeight="1">
      <c r="B139" s="22"/>
      <c r="E139" s="22"/>
      <c r="J139" s="23"/>
    </row>
    <row r="140" ht="15.75" customHeight="1">
      <c r="B140" s="22"/>
      <c r="E140" s="22"/>
      <c r="J140" s="23"/>
    </row>
    <row r="141" ht="15.75" customHeight="1">
      <c r="B141" s="22"/>
      <c r="E141" s="22"/>
      <c r="J141" s="23"/>
    </row>
    <row r="142" ht="15.75" customHeight="1">
      <c r="B142" s="22"/>
      <c r="E142" s="22"/>
      <c r="J142" s="23"/>
    </row>
    <row r="143" ht="15.75" customHeight="1">
      <c r="B143" s="22"/>
      <c r="E143" s="22"/>
      <c r="J143" s="23"/>
    </row>
    <row r="144" ht="15.75" customHeight="1">
      <c r="B144" s="22"/>
      <c r="E144" s="22"/>
      <c r="J144" s="23"/>
    </row>
    <row r="145" ht="15.75" customHeight="1">
      <c r="B145" s="22"/>
      <c r="E145" s="22"/>
      <c r="J145" s="23"/>
    </row>
    <row r="146" ht="15.75" customHeight="1">
      <c r="B146" s="22"/>
      <c r="E146" s="22"/>
      <c r="J146" s="23"/>
    </row>
    <row r="147" ht="15.75" customHeight="1">
      <c r="B147" s="22"/>
      <c r="E147" s="22"/>
      <c r="J147" s="23"/>
    </row>
    <row r="148" ht="15.75" customHeight="1">
      <c r="B148" s="22"/>
      <c r="E148" s="22"/>
      <c r="J148" s="23"/>
    </row>
    <row r="149" ht="15.75" customHeight="1">
      <c r="B149" s="22"/>
      <c r="E149" s="22"/>
      <c r="J149" s="23"/>
    </row>
    <row r="150" ht="15.75" customHeight="1">
      <c r="B150" s="22"/>
      <c r="E150" s="22"/>
      <c r="J150" s="23"/>
    </row>
    <row r="151" ht="15.75" customHeight="1">
      <c r="B151" s="22"/>
      <c r="E151" s="22"/>
      <c r="J151" s="23"/>
    </row>
    <row r="152" ht="15.75" customHeight="1">
      <c r="B152" s="22"/>
      <c r="E152" s="22"/>
      <c r="J152" s="23"/>
    </row>
    <row r="153" ht="15.75" customHeight="1">
      <c r="B153" s="22"/>
      <c r="E153" s="22"/>
      <c r="J153" s="23"/>
    </row>
    <row r="154" ht="15.75" customHeight="1">
      <c r="B154" s="22"/>
      <c r="E154" s="22"/>
      <c r="J154" s="23"/>
    </row>
    <row r="155" ht="15.75" customHeight="1">
      <c r="B155" s="22"/>
      <c r="E155" s="22"/>
      <c r="J155" s="23"/>
    </row>
    <row r="156" ht="15.75" customHeight="1">
      <c r="B156" s="22"/>
      <c r="E156" s="22"/>
      <c r="J156" s="23"/>
    </row>
    <row r="157" ht="15.75" customHeight="1">
      <c r="B157" s="22"/>
      <c r="E157" s="22"/>
      <c r="J157" s="23"/>
    </row>
    <row r="158" ht="15.75" customHeight="1">
      <c r="B158" s="22"/>
      <c r="E158" s="22"/>
      <c r="J158" s="23"/>
    </row>
    <row r="159" ht="15.75" customHeight="1">
      <c r="B159" s="22"/>
      <c r="E159" s="22"/>
      <c r="J159" s="23"/>
    </row>
    <row r="160" ht="15.75" customHeight="1">
      <c r="B160" s="22"/>
      <c r="E160" s="22"/>
      <c r="J160" s="23"/>
    </row>
    <row r="161" ht="15.75" customHeight="1">
      <c r="B161" s="22"/>
      <c r="E161" s="22"/>
      <c r="J161" s="23"/>
    </row>
    <row r="162" ht="15.75" customHeight="1">
      <c r="B162" s="22"/>
      <c r="E162" s="22"/>
      <c r="J162" s="23"/>
    </row>
    <row r="163" ht="15.75" customHeight="1">
      <c r="B163" s="22"/>
      <c r="E163" s="22"/>
      <c r="J163" s="23"/>
    </row>
    <row r="164" ht="15.75" customHeight="1">
      <c r="B164" s="22"/>
      <c r="E164" s="22"/>
      <c r="J164" s="23"/>
    </row>
    <row r="165" ht="15.75" customHeight="1">
      <c r="B165" s="22"/>
      <c r="E165" s="22"/>
      <c r="J165" s="23"/>
    </row>
    <row r="166" ht="15.75" customHeight="1">
      <c r="B166" s="22"/>
      <c r="E166" s="22"/>
      <c r="J166" s="23"/>
    </row>
    <row r="167" ht="15.75" customHeight="1">
      <c r="B167" s="22"/>
      <c r="E167" s="22"/>
      <c r="J167" s="23"/>
    </row>
    <row r="168" ht="15.75" customHeight="1">
      <c r="B168" s="22"/>
      <c r="E168" s="22"/>
      <c r="J168" s="23"/>
    </row>
    <row r="169" ht="15.75" customHeight="1">
      <c r="B169" s="22"/>
      <c r="E169" s="22"/>
      <c r="J169" s="23"/>
    </row>
    <row r="170" ht="15.75" customHeight="1">
      <c r="B170" s="22"/>
      <c r="E170" s="22"/>
      <c r="J170" s="23"/>
    </row>
    <row r="171" ht="15.75" customHeight="1">
      <c r="B171" s="22"/>
      <c r="E171" s="22"/>
      <c r="J171" s="23"/>
    </row>
    <row r="172" ht="15.75" customHeight="1">
      <c r="B172" s="22"/>
      <c r="E172" s="22"/>
      <c r="J172" s="23"/>
    </row>
    <row r="173" ht="15.75" customHeight="1">
      <c r="B173" s="22"/>
      <c r="E173" s="22"/>
      <c r="J173" s="23"/>
    </row>
    <row r="174" ht="15.75" customHeight="1">
      <c r="B174" s="22"/>
      <c r="E174" s="22"/>
      <c r="J174" s="23"/>
    </row>
    <row r="175" ht="15.75" customHeight="1">
      <c r="B175" s="22"/>
      <c r="E175" s="22"/>
      <c r="J175" s="23"/>
    </row>
    <row r="176" ht="15.75" customHeight="1">
      <c r="B176" s="22"/>
      <c r="E176" s="22"/>
      <c r="J176" s="23"/>
    </row>
    <row r="177" ht="15.75" customHeight="1">
      <c r="B177" s="22"/>
      <c r="E177" s="22"/>
      <c r="J177" s="23"/>
    </row>
    <row r="178" ht="15.75" customHeight="1">
      <c r="B178" s="22"/>
      <c r="E178" s="22"/>
      <c r="J178" s="23"/>
    </row>
    <row r="179" ht="15.75" customHeight="1">
      <c r="B179" s="22"/>
      <c r="E179" s="22"/>
      <c r="J179" s="23"/>
    </row>
    <row r="180" ht="15.75" customHeight="1">
      <c r="B180" s="22"/>
      <c r="E180" s="22"/>
      <c r="J180" s="23"/>
    </row>
    <row r="181" ht="15.75" customHeight="1">
      <c r="B181" s="22"/>
      <c r="E181" s="22"/>
      <c r="J181" s="23"/>
    </row>
    <row r="182" ht="15.75" customHeight="1">
      <c r="B182" s="22"/>
      <c r="E182" s="22"/>
      <c r="J182" s="23"/>
    </row>
    <row r="183" ht="15.75" customHeight="1">
      <c r="B183" s="22"/>
      <c r="E183" s="22"/>
      <c r="J183" s="23"/>
    </row>
    <row r="184" ht="15.75" customHeight="1">
      <c r="B184" s="22"/>
      <c r="E184" s="22"/>
      <c r="J184" s="23"/>
    </row>
    <row r="185" ht="15.75" customHeight="1">
      <c r="B185" s="22"/>
      <c r="E185" s="22"/>
      <c r="J185" s="23"/>
    </row>
    <row r="186" ht="15.75" customHeight="1">
      <c r="B186" s="22"/>
      <c r="E186" s="22"/>
      <c r="J186" s="23"/>
    </row>
    <row r="187" ht="15.75" customHeight="1">
      <c r="B187" s="22"/>
      <c r="E187" s="22"/>
      <c r="J187" s="23"/>
    </row>
    <row r="188" ht="15.75" customHeight="1">
      <c r="B188" s="22"/>
      <c r="E188" s="22"/>
      <c r="J188" s="23"/>
    </row>
    <row r="189" ht="15.75" customHeight="1">
      <c r="B189" s="22"/>
      <c r="E189" s="22"/>
      <c r="J189" s="23"/>
    </row>
    <row r="190" ht="15.75" customHeight="1">
      <c r="B190" s="22"/>
      <c r="E190" s="22"/>
      <c r="J190" s="23"/>
    </row>
    <row r="191" ht="15.75" customHeight="1">
      <c r="B191" s="22"/>
      <c r="E191" s="22"/>
      <c r="J191" s="23"/>
    </row>
    <row r="192" ht="15.75" customHeight="1">
      <c r="B192" s="22"/>
      <c r="E192" s="22"/>
      <c r="J192" s="23"/>
    </row>
    <row r="193" ht="15.75" customHeight="1">
      <c r="B193" s="22"/>
      <c r="E193" s="22"/>
      <c r="J193" s="23"/>
    </row>
    <row r="194" ht="15.75" customHeight="1">
      <c r="B194" s="22"/>
      <c r="E194" s="22"/>
      <c r="J194" s="23"/>
    </row>
    <row r="195" ht="15.75" customHeight="1">
      <c r="B195" s="22"/>
      <c r="E195" s="22"/>
      <c r="J195" s="23"/>
    </row>
    <row r="196" ht="15.75" customHeight="1">
      <c r="B196" s="22"/>
      <c r="E196" s="22"/>
      <c r="J196" s="23"/>
    </row>
    <row r="197" ht="15.75" customHeight="1">
      <c r="B197" s="22"/>
      <c r="E197" s="22"/>
      <c r="J197" s="23"/>
    </row>
    <row r="198" ht="15.75" customHeight="1">
      <c r="B198" s="22"/>
      <c r="E198" s="22"/>
      <c r="J198" s="23"/>
    </row>
    <row r="199" ht="15.75" customHeight="1">
      <c r="B199" s="22"/>
      <c r="E199" s="22"/>
      <c r="J199" s="23"/>
    </row>
    <row r="200" ht="15.75" customHeight="1">
      <c r="B200" s="22"/>
      <c r="E200" s="22"/>
      <c r="J200" s="23"/>
    </row>
    <row r="201" ht="15.75" customHeight="1">
      <c r="B201" s="22"/>
      <c r="E201" s="22"/>
      <c r="J201" s="23"/>
    </row>
    <row r="202" ht="15.75" customHeight="1">
      <c r="B202" s="22"/>
      <c r="E202" s="22"/>
      <c r="J202" s="23"/>
    </row>
    <row r="203" ht="15.75" customHeight="1">
      <c r="B203" s="22"/>
      <c r="E203" s="22"/>
      <c r="J203" s="23"/>
    </row>
    <row r="204" ht="15.75" customHeight="1">
      <c r="B204" s="22"/>
      <c r="E204" s="22"/>
      <c r="J204" s="23"/>
    </row>
    <row r="205" ht="15.75" customHeight="1">
      <c r="B205" s="22"/>
      <c r="E205" s="22"/>
      <c r="J205" s="23"/>
    </row>
    <row r="206" ht="15.75" customHeight="1">
      <c r="B206" s="22"/>
      <c r="E206" s="22"/>
      <c r="J206" s="23"/>
    </row>
    <row r="207" ht="15.75" customHeight="1">
      <c r="B207" s="22"/>
      <c r="E207" s="22"/>
      <c r="J207" s="23"/>
    </row>
    <row r="208" ht="15.75" customHeight="1">
      <c r="B208" s="22"/>
      <c r="E208" s="22"/>
      <c r="J208" s="23"/>
    </row>
    <row r="209" ht="15.75" customHeight="1">
      <c r="B209" s="22"/>
      <c r="E209" s="22"/>
      <c r="J209" s="23"/>
    </row>
    <row r="210" ht="15.75" customHeight="1">
      <c r="B210" s="22"/>
      <c r="E210" s="22"/>
      <c r="J210" s="23"/>
    </row>
    <row r="211" ht="15.75" customHeight="1">
      <c r="B211" s="22"/>
      <c r="E211" s="22"/>
      <c r="J211" s="23"/>
    </row>
    <row r="212" ht="15.75" customHeight="1">
      <c r="B212" s="22"/>
      <c r="E212" s="22"/>
      <c r="J212" s="23"/>
    </row>
    <row r="213" ht="15.75" customHeight="1">
      <c r="B213" s="22"/>
      <c r="E213" s="22"/>
      <c r="J213" s="23"/>
    </row>
    <row r="214" ht="15.75" customHeight="1">
      <c r="B214" s="22"/>
      <c r="E214" s="22"/>
      <c r="J214" s="23"/>
    </row>
    <row r="215" ht="15.75" customHeight="1">
      <c r="B215" s="22"/>
      <c r="E215" s="22"/>
      <c r="J215" s="23"/>
    </row>
    <row r="216" ht="15.75" customHeight="1">
      <c r="B216" s="22"/>
      <c r="E216" s="22"/>
      <c r="J216" s="23"/>
    </row>
    <row r="217" ht="15.75" customHeight="1">
      <c r="B217" s="22"/>
      <c r="E217" s="22"/>
      <c r="J217" s="23"/>
    </row>
    <row r="218" ht="15.75" customHeight="1">
      <c r="B218" s="22"/>
      <c r="E218" s="22"/>
      <c r="J218" s="23"/>
    </row>
    <row r="219" ht="15.75" customHeight="1">
      <c r="B219" s="22"/>
      <c r="E219" s="22"/>
      <c r="J219" s="23"/>
    </row>
    <row r="220" ht="15.75" customHeight="1">
      <c r="B220" s="22"/>
      <c r="E220" s="22"/>
      <c r="J220" s="23"/>
    </row>
    <row r="221" ht="15.75" customHeight="1">
      <c r="B221" s="22"/>
      <c r="E221" s="22"/>
      <c r="J221" s="23"/>
    </row>
    <row r="222" ht="15.75" customHeight="1">
      <c r="B222" s="22"/>
      <c r="E222" s="22"/>
      <c r="J222" s="23"/>
    </row>
    <row r="223" ht="15.75" customHeight="1">
      <c r="B223" s="22"/>
      <c r="E223" s="22"/>
      <c r="J223" s="23"/>
    </row>
    <row r="224" ht="15.75" customHeight="1">
      <c r="B224" s="22"/>
      <c r="E224" s="22"/>
      <c r="J224" s="23"/>
    </row>
    <row r="225" ht="15.75" customHeight="1">
      <c r="B225" s="22"/>
      <c r="E225" s="22"/>
      <c r="J225" s="23"/>
    </row>
    <row r="226" ht="15.75" customHeight="1">
      <c r="B226" s="22"/>
      <c r="E226" s="22"/>
      <c r="J226" s="23"/>
    </row>
    <row r="227" ht="15.75" customHeight="1">
      <c r="B227" s="22"/>
      <c r="E227" s="22"/>
      <c r="J227" s="23"/>
    </row>
    <row r="228" ht="15.75" customHeight="1">
      <c r="B228" s="22"/>
      <c r="E228" s="22"/>
      <c r="J228" s="23"/>
    </row>
    <row r="229" ht="15.75" customHeight="1">
      <c r="B229" s="22"/>
      <c r="E229" s="22"/>
      <c r="J229" s="23"/>
    </row>
    <row r="230" ht="15.75" customHeight="1">
      <c r="B230" s="22"/>
      <c r="E230" s="22"/>
      <c r="J230" s="23"/>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1">
    <mergeCell ref="A2:A4"/>
  </mergeCells>
  <conditionalFormatting sqref="I2:I41">
    <cfRule type="cellIs" dxfId="0" priority="1" operator="equal">
      <formula>"Pass"</formula>
    </cfRule>
  </conditionalFormatting>
  <conditionalFormatting sqref="I2:I41">
    <cfRule type="cellIs" dxfId="1" priority="2" operator="equal">
      <formula>"Fail"</formula>
    </cfRule>
  </conditionalFormatting>
  <conditionalFormatting sqref="I2:I41">
    <cfRule type="containsText" dxfId="2" priority="3" operator="containsText" text="Blocked">
      <formula>NOT(ISERROR(SEARCH(("Blocked"),(I2))))</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5"/>
    <col customWidth="1" min="2" max="2" width="20.88"/>
    <col customWidth="1" min="3" max="3" width="19.63"/>
    <col customWidth="1" min="4" max="4" width="22.75"/>
    <col customWidth="1" min="5" max="5" width="23.88"/>
    <col customWidth="1" min="6" max="6" width="20.38"/>
    <col customWidth="1" min="7" max="7" width="23.75"/>
    <col customWidth="1" min="8" max="8" width="20.38"/>
    <col customWidth="1" min="9" max="9" width="22.13"/>
  </cols>
  <sheetData>
    <row r="1" ht="67.5" customHeight="1">
      <c r="A1" s="24" t="s">
        <v>130</v>
      </c>
      <c r="B1" s="24" t="s">
        <v>131</v>
      </c>
      <c r="C1" s="24" t="s">
        <v>132</v>
      </c>
      <c r="D1" s="24" t="s">
        <v>133</v>
      </c>
      <c r="E1" s="24" t="s">
        <v>134</v>
      </c>
      <c r="F1" s="24" t="s">
        <v>135</v>
      </c>
      <c r="G1" s="24" t="s">
        <v>136</v>
      </c>
      <c r="H1" s="24" t="s">
        <v>137</v>
      </c>
      <c r="I1" s="24" t="s">
        <v>134</v>
      </c>
    </row>
    <row r="2" ht="75.75" customHeight="1">
      <c r="A2" s="25">
        <f>COUNTIF(TestCases!B2:B70,"*")</f>
        <v>31</v>
      </c>
      <c r="B2" s="25">
        <f>COUNTIF(TestCases!I2:O70,"Pass")</f>
        <v>0</v>
      </c>
      <c r="C2" s="25">
        <f>COUNTIF(TestCases!I2:I70,"Fail")</f>
        <v>0</v>
      </c>
      <c r="D2" s="25">
        <f>COUNTIF(TestCases!I2:I70,"Blocked")</f>
        <v>0</v>
      </c>
      <c r="E2" s="25">
        <f>B2+C2</f>
        <v>0</v>
      </c>
      <c r="F2" s="26">
        <f>(D2/A2)*100</f>
        <v>0</v>
      </c>
      <c r="G2" s="27">
        <f>(C2/A2)*100</f>
        <v>0</v>
      </c>
      <c r="H2" s="26">
        <f>(B2/A2)*100</f>
        <v>0</v>
      </c>
      <c r="I2" s="27">
        <f>((B2+C2)/A2)*100</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
    <cfRule type="cellIs" dxfId="1" priority="1" operator="between">
      <formula>0</formula>
      <formula>25</formula>
    </cfRule>
  </conditionalFormatting>
  <conditionalFormatting sqref="I2">
    <cfRule type="cellIs" dxfId="2" priority="2" operator="between">
      <formula>26</formula>
      <formula>50</formula>
    </cfRule>
  </conditionalFormatting>
  <conditionalFormatting sqref="I2">
    <cfRule type="cellIs" dxfId="3" priority="3" operator="between">
      <formula>51</formula>
      <formula>75</formula>
    </cfRule>
  </conditionalFormatting>
  <conditionalFormatting sqref="I2">
    <cfRule type="cellIs" dxfId="0" priority="4" operator="between">
      <formula>76</formula>
      <formula>100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